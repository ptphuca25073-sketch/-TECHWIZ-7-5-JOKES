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<sst xmlns="http://schemas.openxmlformats.org/spreadsheetml/2006/main" count="1027" uniqueCount="90">
  <si>
    <t>GANTT CHART</t>
  </si>
  <si>
    <t>https://goo.gl/PlIwL0</t>
  </si>
  <si>
    <t>PROJECT TITLE</t>
  </si>
  <si>
    <t>Cyberpunk Detective</t>
  </si>
  <si>
    <t xml:space="preserve"> NAME OF TEAM</t>
  </si>
  <si>
    <t>5 JOKES</t>
  </si>
  <si>
    <t>DURATION</t>
  </si>
  <si>
    <t>120 hours</t>
  </si>
  <si>
    <t>DATE</t>
  </si>
  <si>
    <t>24/09/2026</t>
  </si>
  <si>
    <t>DAY ONE (24/09/2026)</t>
  </si>
  <si>
    <t>DAY TWO (25/09/2026)</t>
  </si>
  <si>
    <t>DAY THREE (26/09/2026)</t>
  </si>
  <si>
    <t>DAY  Four (27/09/2026)</t>
  </si>
  <si>
    <t>DAY Five (28/09/2026)</t>
  </si>
  <si>
    <t>DAY Six (29/09/2026)</t>
  </si>
  <si>
    <t>WBS NUMBER</t>
  </si>
  <si>
    <t>TASK TITLE</t>
  </si>
  <si>
    <t>TASK OWNER</t>
  </si>
  <si>
    <t>START DATE</t>
  </si>
  <si>
    <t>DUE DATE</t>
  </si>
  <si>
    <t>PCT OF TASK COMPLETE</t>
  </si>
  <si>
    <t>Morning</t>
  </si>
  <si>
    <t>Noon</t>
  </si>
  <si>
    <t>Night</t>
  </si>
  <si>
    <t>Requirement Analysis</t>
  </si>
  <si>
    <t>Study and analysis Software Requirements Specification (SRS)</t>
  </si>
  <si>
    <t>All</t>
  </si>
  <si>
    <t>x</t>
  </si>
  <si>
    <t>Define scope &amp; Identify objectives</t>
  </si>
  <si>
    <t>Outline core functionalities (functional and non-functional requirements)</t>
  </si>
  <si>
    <t>Discuss technical, operational, UI, and security constraints</t>
  </si>
  <si>
    <t xml:space="preserve"> </t>
  </si>
  <si>
    <t>Analyze target audience, goals, and project scope</t>
  </si>
  <si>
    <t>Trinh Tan Loc, Pham Thien Phuc</t>
  </si>
  <si>
    <t>Define roles and responsibilities of each member team</t>
  </si>
  <si>
    <t>Trinh Tan Loc</t>
  </si>
  <si>
    <t>List tools and technologies</t>
  </si>
  <si>
    <t>Game Design</t>
  </si>
  <si>
    <t>20 hours</t>
  </si>
  <si>
    <t>Design the application architecture diagram</t>
  </si>
  <si>
    <t>Huynh Nhat Duy</t>
  </si>
  <si>
    <t>Design flowchart / gameplay loop</t>
  </si>
  <si>
    <t>Pham Thien Phuc</t>
  </si>
  <si>
    <t>Design level layouts (environments, obstacles, NPC)</t>
  </si>
  <si>
    <t>Nguyen The Kiet</t>
  </si>
  <si>
    <t>Design characters, NPC, and item</t>
  </si>
  <si>
    <t>Tran Quoc An, Trinh Tan Loc, Nguyen The Kiet</t>
  </si>
  <si>
    <t>Design UI (main menu, HUD)</t>
  </si>
  <si>
    <t>Huynh Nhat Duy, Trinh Tan Loc</t>
  </si>
  <si>
    <t>Design mission</t>
  </si>
  <si>
    <t>Pham Thien Phuc, Tran Quoc An</t>
  </si>
  <si>
    <t>Plan audio (background music, environmental effects)</t>
  </si>
  <si>
    <t>Nguyen The Kiet, Tran Quoc An, Huynh Nhat Duy</t>
  </si>
  <si>
    <t>Development - Front-end (Unity + C#)</t>
  </si>
  <si>
    <t>25 hour</t>
  </si>
  <si>
    <t>Build game environments (maps, props, lighting, effects)</t>
  </si>
  <si>
    <t>Implement player movement and responsive controls</t>
  </si>
  <si>
    <t>Tran Quoc An</t>
  </si>
  <si>
    <t>Programming enemy AI mechanics</t>
  </si>
  <si>
    <t xml:space="preserve">
Programming the in-game mission system</t>
  </si>
  <si>
    <t>Add environmental puzzle system</t>
  </si>
  <si>
    <t>Build inventory system</t>
  </si>
  <si>
    <t>Integration of reward and collectible item systems</t>
  </si>
  <si>
    <t>Development - Back-end (logic &amp; data)</t>
  </si>
  <si>
    <t>25 hours</t>
  </si>
  <si>
    <t>Implement save/load system (checkpoints, mission progress)</t>
  </si>
  <si>
    <t>Nguyen The Kiet, Huynh Nhat Duy</t>
  </si>
  <si>
    <t xml:space="preserve">
Player Data &amp; Quest State Handling</t>
  </si>
  <si>
    <t>Optimize performance (asset bundles, pooling, baked lighting)</t>
  </si>
  <si>
    <t>AI system for enemies</t>
  </si>
  <si>
    <t>Testing &amp; Debugging</t>
  </si>
  <si>
    <t>15 hours</t>
  </si>
  <si>
    <t>Write test cases for all features</t>
  </si>
  <si>
    <t>Perform unit testing</t>
  </si>
  <si>
    <t>Perform integration testing (AI, puzzles, missions, inventory)</t>
  </si>
  <si>
    <t>Test performance (FPS, asset loading, memory leaks)</t>
  </si>
  <si>
    <t>Documentation &amp; Reporting</t>
  </si>
  <si>
    <t>10 hours</t>
  </si>
  <si>
    <t>Write installation and user manuals</t>
  </si>
  <si>
    <t>Create design documentation (flowcharts, data flow, architecture)</t>
  </si>
  <si>
    <t>Add technical notes and version control logs</t>
  </si>
  <si>
    <t>Prepare a complete project report</t>
  </si>
  <si>
    <t>Demo Preparation &amp; Submission</t>
  </si>
  <si>
    <t>Record demo video (.mp4) showing all features</t>
  </si>
  <si>
    <t>Edit and finalize video</t>
  </si>
  <si>
    <t>Prepare the submission package (source code, Unity packages, assets)</t>
  </si>
  <si>
    <t xml:space="preserve">Trinh Tan Loc </t>
  </si>
  <si>
    <t>Final review of all deliverables (report + project + video)</t>
  </si>
  <si>
    <t>Submit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</si>
</sst>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"/>
  </numFmts>
  <fonts count="13">
    <font>
      <sz val="10.0"/>
      <color rgb="FF000000"/>
      <name val="Arial"/>
      <scheme val="minor"/>
    </font>
    <font>
      <color theme="1"/>
      <name val="Arial"/>
    </font>
    <font>
      <b/>
      <sz val="16.0"/>
      <color rgb="FF0B5394"/>
      <name val="Arial"/>
    </font>
    <font>
      <u/>
      <color rgb="FF0000FF"/>
      <name val="Arial"/>
    </font>
    <font>
      <u/>
      <color rgb="FFFFFFFF"/>
      <name val="Arial"/>
    </font>
    <font>
      <b/>
      <sz val="9.0"/>
      <color rgb="FFFFFFFF"/>
      <name val="Corbel"/>
    </font>
    <font>
      <sz val="9.0"/>
      <color rgb="FF000000"/>
      <name val="Arial"/>
    </font>
    <font/>
    <font>
      <sz val="9.0"/>
      <color theme="1"/>
      <name val="Arial"/>
    </font>
    <font>
      <b/>
      <sz val="9.0"/>
      <color rgb="FF000000"/>
      <name val="Corbel"/>
    </font>
    <font>
      <sz val="9.0"/>
      <color rgb="FF000000"/>
      <name val="Corbel"/>
    </font>
    <font>
      <color rgb="FF000000"/>
      <name val="Arial"/>
    </font>
    <font>
      <sz val="9.0"/>
      <color theme="1"/>
      <name val="Corbe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FF9900"/>
        <bgColor rgb="FFFF9900"/>
      </patternFill>
    </fill>
    <fill>
      <patternFill patternType="solid">
        <fgColor rgb="FF806000"/>
        <bgColor rgb="FF806000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</fills>
  <borders count="20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000000"/>
      </bottom>
    </border>
    <border>
      <left style="thin">
        <color rgb="FF999999"/>
      </left>
      <bottom style="thin">
        <color rgb="FF000000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bottom"/>
    </xf>
    <xf borderId="1" fillId="0" fontId="1" numFmtId="0" xfId="0" applyBorder="1" applyFont="1"/>
    <xf borderId="2" fillId="3" fontId="5" numFmtId="0" xfId="0" applyAlignment="1" applyBorder="1" applyFill="1" applyFont="1">
      <alignment horizontal="right" vertical="bottom"/>
    </xf>
    <xf borderId="2" fillId="2" fontId="6" numFmtId="0" xfId="0" applyAlignment="1" applyBorder="1" applyFill="1" applyFont="1">
      <alignment readingOrder="0" vertical="bottom"/>
    </xf>
    <xf borderId="3" fillId="0" fontId="7" numFmtId="0" xfId="0" applyBorder="1" applyFont="1"/>
    <xf borderId="4" fillId="0" fontId="7" numFmtId="0" xfId="0" applyBorder="1" applyFont="1"/>
    <xf borderId="2" fillId="0" fontId="8" numFmtId="0" xfId="0" applyAlignment="1" applyBorder="1" applyFont="1">
      <alignment readingOrder="0" vertical="bottom"/>
    </xf>
    <xf borderId="2" fillId="2" fontId="6" numFmtId="0" xfId="0" applyAlignment="1" applyBorder="1" applyFill="1" applyFont="1">
      <alignment vertical="bottom"/>
    </xf>
    <xf borderId="2" fillId="0" fontId="8" numFmtId="0" xfId="0" applyAlignment="1" applyBorder="1" applyFont="1">
      <alignment horizontal="left" readingOrder="0" vertical="bottom"/>
    </xf>
    <xf borderId="5" fillId="4" fontId="5" numFmtId="0" xfId="0" applyAlignment="1" applyBorder="1" applyFill="1" applyFont="1">
      <alignment horizontal="center" readingOrder="0" vertical="bottom"/>
    </xf>
    <xf borderId="6" fillId="0" fontId="7" numFmtId="0" xfId="0" applyBorder="1" applyFont="1"/>
    <xf borderId="7" fillId="0" fontId="7" numFmtId="0" xfId="0" applyBorder="1" applyFont="1"/>
    <xf borderId="8" fillId="5" fontId="5" numFmtId="0" xfId="0" applyAlignment="1" applyBorder="1" applyFill="1" applyFont="1">
      <alignment horizontal="center" readingOrder="0" vertical="bottom"/>
    </xf>
    <xf borderId="8" fillId="0" fontId="7" numFmtId="0" xfId="0" applyBorder="1" applyFont="1"/>
    <xf borderId="9" fillId="0" fontId="7" numFmtId="0" xfId="0" applyBorder="1" applyFont="1"/>
    <xf borderId="8" fillId="3" fontId="5" numFmtId="0" xfId="0" applyAlignment="1" applyBorder="1" applyFill="1" applyFont="1">
      <alignment horizontal="center" readingOrder="0" vertical="bottom"/>
    </xf>
    <xf borderId="8" fillId="6" fontId="5" numFmtId="0" xfId="0" applyAlignment="1" applyBorder="1" applyFill="1" applyFont="1">
      <alignment horizontal="center" readingOrder="0" vertical="bottom"/>
    </xf>
    <xf borderId="6" fillId="7" fontId="5" numFmtId="0" xfId="0" applyAlignment="1" applyBorder="1" applyFill="1" applyFont="1">
      <alignment horizontal="center" readingOrder="0" vertical="bottom"/>
    </xf>
    <xf borderId="10" fillId="8" fontId="9" numFmtId="0" xfId="0" applyAlignment="1" applyBorder="1" applyFill="1" applyFont="1">
      <alignment horizontal="center" shrinkToFit="0" wrapText="1"/>
    </xf>
    <xf borderId="11" fillId="8" fontId="9" numFmtId="0" xfId="0" applyAlignment="1" applyBorder="1" applyFill="1" applyFont="1">
      <alignment horizontal="center" shrinkToFit="0" wrapText="1"/>
    </xf>
    <xf borderId="2" fillId="9" fontId="5" numFmtId="0" xfId="0" applyAlignment="1" applyBorder="1" applyFill="1" applyFont="1">
      <alignment horizontal="center" vertical="bottom"/>
    </xf>
    <xf borderId="2" fillId="10" fontId="5" numFmtId="0" xfId="0" applyAlignment="1" applyBorder="1" applyFill="1" applyFont="1">
      <alignment horizontal="center" vertical="bottom"/>
    </xf>
    <xf borderId="12" fillId="0" fontId="7" numFmtId="0" xfId="0" applyBorder="1" applyFont="1"/>
    <xf borderId="13" fillId="0" fontId="7" numFmtId="0" xfId="0" applyBorder="1" applyFont="1"/>
    <xf borderId="14" fillId="11" fontId="9" numFmtId="0" xfId="0" applyAlignment="1" applyBorder="1" applyFill="1" applyFont="1">
      <alignment horizontal="center" vertical="bottom"/>
    </xf>
    <xf borderId="14" fillId="12" fontId="9" numFmtId="0" xfId="0" applyAlignment="1" applyBorder="1" applyFill="1" applyFont="1">
      <alignment horizontal="center" vertical="bottom"/>
    </xf>
    <xf borderId="1" fillId="13" fontId="10" numFmtId="0" xfId="0" applyAlignment="1" applyBorder="1" applyFill="1" applyFont="1">
      <alignment shrinkToFit="0" vertical="bottom" wrapText="1"/>
    </xf>
    <xf borderId="1" fillId="8" fontId="10" numFmtId="0" xfId="0" applyAlignment="1" applyBorder="1" applyFill="1" applyFont="1">
      <alignment shrinkToFit="0" vertical="bottom" wrapText="1"/>
    </xf>
    <xf borderId="1" fillId="8" fontId="1" numFmtId="0" xfId="0" applyAlignment="1" applyBorder="1" applyFill="1" applyFont="1">
      <alignment vertical="bottom"/>
    </xf>
    <xf borderId="2" fillId="8" fontId="10" numFmtId="0" xfId="0" applyAlignment="1" applyBorder="1" applyFill="1" applyFont="1">
      <alignment horizontal="center" shrinkToFit="0" vertical="bottom" wrapText="1"/>
    </xf>
    <xf borderId="15" fillId="8" fontId="1" numFmtId="0" xfId="0" applyAlignment="1" applyBorder="1" applyFill="1" applyFont="1">
      <alignment vertical="bottom"/>
    </xf>
    <xf borderId="15" fillId="8" fontId="1" numFmtId="164" xfId="0" applyAlignment="1" applyBorder="1" applyFill="1" applyFont="1" applyNumberFormat="1">
      <alignment vertical="bottom"/>
    </xf>
    <xf borderId="15" fillId="8" fontId="1" numFmtId="3" xfId="0" applyAlignment="1" applyBorder="1" applyFill="1" applyFont="1" applyNumberFormat="1">
      <alignment vertical="bottom"/>
    </xf>
    <xf borderId="4" fillId="0" fontId="1" numFmtId="0" xfId="0" applyBorder="1" applyFont="1"/>
    <xf borderId="1" fillId="0" fontId="10" numFmtId="0" xfId="0" applyAlignment="1" applyBorder="1" applyFont="1">
      <alignment shrinkToFit="0" vertical="bottom" wrapText="1"/>
    </xf>
    <xf borderId="1" fillId="0" fontId="10" numFmtId="165" xfId="0" applyAlignment="1" applyBorder="1" applyFont="1" applyNumberFormat="1">
      <alignment horizontal="center" readingOrder="0" shrinkToFit="0" vertical="bottom" wrapText="1"/>
    </xf>
    <xf borderId="1" fillId="0" fontId="10" numFmtId="0" xfId="0" applyAlignment="1" applyBorder="1" applyFont="1">
      <alignment horizontal="center" readingOrder="0" shrinkToFit="0" vertical="bottom" wrapText="1"/>
    </xf>
    <xf borderId="2" fillId="14" fontId="1" numFmtId="9" xfId="0" applyAlignment="1" applyBorder="1" applyFill="1" applyFont="1" applyNumberFormat="1">
      <alignment readingOrder="0"/>
    </xf>
    <xf borderId="15" fillId="6" fontId="11" numFmtId="0" xfId="0" applyAlignment="1" applyBorder="1" applyFill="1" applyFont="1">
      <alignment readingOrder="0"/>
    </xf>
    <xf borderId="15" fillId="0" fontId="1" numFmtId="0" xfId="0" applyBorder="1" applyFont="1"/>
    <xf borderId="15" fillId="0" fontId="11" numFmtId="0" xfId="0" applyAlignment="1" applyBorder="1" applyFont="1">
      <alignment readingOrder="0"/>
    </xf>
    <xf borderId="1" fillId="0" fontId="10" numFmtId="0" xfId="0" applyAlignment="1" applyBorder="1" applyFont="1">
      <alignment readingOrder="0" shrinkToFit="0" vertical="bottom" wrapText="1"/>
    </xf>
    <xf borderId="15" fillId="0" fontId="1" numFmtId="0" xfId="0" applyAlignment="1" applyBorder="1" applyFont="1">
      <alignment readingOrder="0"/>
    </xf>
    <xf borderId="2" fillId="0" fontId="1" numFmtId="0" xfId="0" applyBorder="1" applyFont="1"/>
    <xf borderId="1" fillId="0" fontId="10" numFmtId="0" xfId="0" applyAlignment="1" applyBorder="1" applyFont="1">
      <alignment horizontal="center" shrinkToFit="0" vertical="bottom" wrapText="1"/>
    </xf>
    <xf borderId="15" fillId="15" fontId="11" numFmtId="0" xfId="0" applyAlignment="1" applyBorder="1" applyFill="1" applyFont="1">
      <alignment readingOrder="0"/>
    </xf>
    <xf borderId="15" fillId="16" fontId="11" numFmtId="0" xfId="0" applyAlignment="1" applyBorder="1" applyFill="1" applyFont="1">
      <alignment readingOrder="0"/>
    </xf>
    <xf borderId="15" fillId="17" fontId="11" numFmtId="0" xfId="0" applyAlignment="1" applyBorder="1" applyFill="1" applyFont="1">
      <alignment readingOrder="0"/>
    </xf>
    <xf borderId="1" fillId="13" fontId="12" numFmtId="0" xfId="0" applyAlignment="1" applyBorder="1" applyFill="1" applyFont="1">
      <alignment readingOrder="0" vertical="bottom"/>
    </xf>
    <xf borderId="15" fillId="18" fontId="1" numFmtId="0" xfId="0" applyAlignment="1" applyBorder="1" applyFill="1" applyFont="1">
      <alignment readingOrder="0"/>
    </xf>
    <xf borderId="15" fillId="2" fontId="11" numFmtId="0" xfId="0" applyAlignment="1" applyBorder="1" applyFill="1" applyFont="1">
      <alignment readingOrder="0"/>
    </xf>
    <xf borderId="15" fillId="19" fontId="11" numFmtId="0" xfId="0" applyAlignment="1" applyBorder="1" applyFill="1" applyFont="1">
      <alignment readingOrder="0"/>
    </xf>
    <xf borderId="1" fillId="14" fontId="1" numFmtId="9" xfId="0" applyAlignment="1" applyBorder="1" applyFill="1" applyFont="1" applyNumberFormat="1">
      <alignment readingOrder="0"/>
    </xf>
    <xf borderId="16" fillId="2" fontId="11" numFmtId="0" xfId="0" applyAlignment="1" applyBorder="1" applyFill="1" applyFont="1">
      <alignment readingOrder="0"/>
    </xf>
    <xf borderId="17" fillId="0" fontId="1" numFmtId="0" xfId="0" applyBorder="1" applyFont="1"/>
    <xf borderId="18" fillId="0" fontId="1" numFmtId="0" xfId="0" applyBorder="1" applyFont="1"/>
    <xf borderId="0" fillId="0" fontId="1" numFmtId="0" xfId="0" applyFont="1"/>
    <xf borderId="19" fillId="0" fontId="1" numFmtId="0" xfId="0" applyBorder="1" applyFont="1"/>
    <xf borderId="16" fillId="0" fontId="1" numFmtId="0" xfId="0" applyBorder="1" applyFont="1"/>
    <xf borderId="0" fillId="0" fontId="1" numFmtId="9" xfId="0" applyFont="1" applyNumberFormat="1"/>
    <xf borderId="0" fillId="0" fontId="1" numFmtId="164" xfId="0" applyFont="1" applyNumberFormat="1"/>
    <xf borderId="4" fillId="20" fontId="1" numFmtId="0" xfId="0" applyBorder="1" applyFill="1" applyFont="1"/>
    <xf borderId="1" fillId="20" fontId="1" numFmtId="0" xfId="0" applyBorder="1" applyFill="1" applyFont="1"/>
    <xf borderId="1" fillId="21" fontId="1" numFmtId="0" xfId="0" applyBorder="1" applyFill="1" applyFont="1"/>
    <xf borderId="0" fillId="8" fontId="1" numFmtId="9" xfId="0" applyFill="1" applyFont="1" applyNumberFormat="1"/>
    <xf borderId="0" fillId="8" fontId="1" numFmtId="164" xfId="0" applyFill="1" applyFont="1" applyNumberFormat="1"/>
    <xf borderId="0" fillId="8" fontId="1" numFmtId="0" xfId="0" applyFill="1" applyFont="1"/>
    <xf borderId="4" fillId="8" fontId="1" numFmtId="0" xfId="0" applyBorder="1" applyFill="1" applyFont="1"/>
    <xf borderId="1" fillId="8" fontId="1" numFmtId="0" xfId="0" applyBorder="1" applyFill="1" applyFont="1"/>
    <xf borderId="1" fillId="2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artsheet.com/?trp=8539&amp;lx=evuPAIpWo3g7Gy4DYUPbsw&amp;lpa=top-pm-excel-project-tracker&amp;utm_source=integrated+content&amp;utm_campaign=top+project+management+excel+templates&amp;utm_medium=project+tracker+excel+template" TargetMode="External"/><Relationship Id="rId2" Type="http://schemas.openxmlformats.org/officeDocument/2006/relationships/hyperlink" Target="https://goo.gl/PlIwL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" t="s">
        <v>1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</row>
    <row r="2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</row>
    <row r="3">
      <c r="A3" s="1"/>
      <c r="B3" s="1"/>
      <c r="C3" s="7" t="s">
        <v>2</v>
      </c>
      <c r="D3" s="8" t="s">
        <v>3</v>
      </c>
      <c r="E3" s="9"/>
      <c r="F3" s="9"/>
      <c r="G3" s="9"/>
      <c r="H3" s="10"/>
      <c r="I3" s="7" t="s">
        <v>4</v>
      </c>
      <c r="J3" s="9"/>
      <c r="K3" s="9"/>
      <c r="L3" s="9"/>
      <c r="M3" s="9"/>
      <c r="N3" s="9"/>
      <c r="O3" s="10"/>
      <c r="P3" s="11" t="s">
        <v>5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</row>
    <row r="4">
      <c r="A4" s="1"/>
      <c r="B4" s="1"/>
      <c r="C4" s="7" t="s">
        <v>6</v>
      </c>
      <c r="D4" s="12" t="s">
        <v>7</v>
      </c>
      <c r="E4" s="9"/>
      <c r="F4" s="9"/>
      <c r="G4" s="9"/>
      <c r="H4" s="10"/>
      <c r="I4" s="7" t="s">
        <v>8</v>
      </c>
      <c r="J4" s="9"/>
      <c r="K4" s="9"/>
      <c r="L4" s="9"/>
      <c r="M4" s="9"/>
      <c r="N4" s="9"/>
      <c r="O4" s="10"/>
      <c r="P4" s="13" t="s">
        <v>9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</row>
    <row r="5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</row>
    <row r="6">
      <c r="A6" s="1"/>
      <c r="B6" s="1"/>
      <c r="C6" s="1"/>
      <c r="D6" s="1"/>
      <c r="E6" s="1"/>
      <c r="F6" s="1"/>
      <c r="G6" s="1"/>
      <c r="H6" s="1"/>
      <c r="I6" s="14" t="s">
        <v>10</v>
      </c>
      <c r="J6" s="15"/>
      <c r="K6" s="15"/>
      <c r="L6" s="15"/>
      <c r="M6" s="15"/>
      <c r="N6" s="15"/>
      <c r="O6" s="15"/>
      <c r="P6" s="15"/>
      <c r="Q6" s="15"/>
      <c r="R6" s="16"/>
      <c r="S6" s="17" t="s">
        <v>11</v>
      </c>
      <c r="T6" s="18"/>
      <c r="U6" s="18"/>
      <c r="V6" s="18"/>
      <c r="W6" s="18"/>
      <c r="X6" s="18"/>
      <c r="Y6" s="18"/>
      <c r="Z6" s="18"/>
      <c r="AA6" s="18"/>
      <c r="AB6" s="19"/>
      <c r="AC6" s="20" t="s">
        <v>12</v>
      </c>
      <c r="AD6" s="18"/>
      <c r="AE6" s="18"/>
      <c r="AF6" s="18"/>
      <c r="AG6" s="18"/>
      <c r="AH6" s="18"/>
      <c r="AI6" s="18"/>
      <c r="AJ6" s="18"/>
      <c r="AK6" s="18"/>
      <c r="AL6" s="19"/>
      <c r="AM6" s="21" t="s">
        <v>13</v>
      </c>
      <c r="AN6" s="18"/>
      <c r="AO6" s="18"/>
      <c r="AP6" s="18"/>
      <c r="AQ6" s="18"/>
      <c r="AR6" s="18"/>
      <c r="AS6" s="18"/>
      <c r="AT6" s="18"/>
      <c r="AU6" s="18"/>
      <c r="AV6" s="19"/>
      <c r="AW6" s="20" t="s">
        <v>14</v>
      </c>
      <c r="AX6" s="18"/>
      <c r="AY6" s="18"/>
      <c r="AZ6" s="18"/>
      <c r="BA6" s="18"/>
      <c r="BB6" s="18"/>
      <c r="BC6" s="18"/>
      <c r="BD6" s="18"/>
      <c r="BE6" s="18"/>
      <c r="BF6" s="19"/>
      <c r="BG6" s="22" t="s">
        <v>15</v>
      </c>
      <c r="BH6" s="15"/>
      <c r="BI6" s="15"/>
      <c r="BJ6" s="15"/>
      <c r="BK6" s="15"/>
      <c r="BL6" s="1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</row>
    <row r="7">
      <c r="A7" s="1"/>
      <c r="B7" s="23" t="s">
        <v>16</v>
      </c>
      <c r="C7" s="24" t="s">
        <v>17</v>
      </c>
      <c r="D7" s="24" t="s">
        <v>18</v>
      </c>
      <c r="E7" s="24" t="s">
        <v>19</v>
      </c>
      <c r="F7" s="24" t="s">
        <v>20</v>
      </c>
      <c r="G7" s="24" t="s">
        <v>6</v>
      </c>
      <c r="H7" s="23" t="s">
        <v>21</v>
      </c>
      <c r="I7" s="25" t="s">
        <v>22</v>
      </c>
      <c r="J7" s="9"/>
      <c r="K7" s="9"/>
      <c r="L7" s="10"/>
      <c r="M7" s="25" t="s">
        <v>23</v>
      </c>
      <c r="N7" s="9"/>
      <c r="O7" s="9"/>
      <c r="P7" s="10"/>
      <c r="Q7" s="25" t="s">
        <v>24</v>
      </c>
      <c r="R7" s="10"/>
      <c r="S7" s="25" t="s">
        <v>22</v>
      </c>
      <c r="T7" s="9"/>
      <c r="U7" s="9"/>
      <c r="V7" s="10"/>
      <c r="W7" s="25" t="s">
        <v>23</v>
      </c>
      <c r="X7" s="9"/>
      <c r="Y7" s="9"/>
      <c r="Z7" s="10"/>
      <c r="AA7" s="25" t="s">
        <v>24</v>
      </c>
      <c r="AB7" s="10"/>
      <c r="AC7" s="25" t="s">
        <v>22</v>
      </c>
      <c r="AD7" s="9"/>
      <c r="AE7" s="9"/>
      <c r="AF7" s="10"/>
      <c r="AG7" s="25" t="s">
        <v>23</v>
      </c>
      <c r="AH7" s="9"/>
      <c r="AI7" s="9"/>
      <c r="AJ7" s="10"/>
      <c r="AK7" s="25" t="s">
        <v>24</v>
      </c>
      <c r="AL7" s="10"/>
      <c r="AM7" s="25" t="s">
        <v>22</v>
      </c>
      <c r="AN7" s="9"/>
      <c r="AO7" s="9"/>
      <c r="AP7" s="10"/>
      <c r="AQ7" s="25" t="s">
        <v>23</v>
      </c>
      <c r="AR7" s="9"/>
      <c r="AS7" s="9"/>
      <c r="AT7" s="10"/>
      <c r="AU7" s="25" t="s">
        <v>24</v>
      </c>
      <c r="AV7" s="10"/>
      <c r="AW7" s="25" t="s">
        <v>22</v>
      </c>
      <c r="AX7" s="9"/>
      <c r="AY7" s="9"/>
      <c r="AZ7" s="10"/>
      <c r="BA7" s="25" t="s">
        <v>23</v>
      </c>
      <c r="BB7" s="9"/>
      <c r="BC7" s="9"/>
      <c r="BD7" s="10"/>
      <c r="BE7" s="25" t="s">
        <v>24</v>
      </c>
      <c r="BF7" s="10"/>
      <c r="BG7" s="26" t="s">
        <v>22</v>
      </c>
      <c r="BH7" s="9"/>
      <c r="BI7" s="9"/>
      <c r="BJ7" s="10"/>
      <c r="BK7" s="26" t="s">
        <v>23</v>
      </c>
      <c r="BL7" s="10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</row>
    <row r="8">
      <c r="A8" s="1"/>
      <c r="B8" s="27"/>
      <c r="C8" s="28"/>
      <c r="D8" s="28"/>
      <c r="E8" s="28"/>
      <c r="F8" s="28"/>
      <c r="G8" s="28"/>
      <c r="H8" s="27"/>
      <c r="I8" s="29">
        <v>1.0</v>
      </c>
      <c r="J8" s="29">
        <v>2.0</v>
      </c>
      <c r="K8" s="29">
        <v>3.0</v>
      </c>
      <c r="L8" s="29">
        <v>4.0</v>
      </c>
      <c r="M8" s="29">
        <v>5.0</v>
      </c>
      <c r="N8" s="29">
        <v>6.0</v>
      </c>
      <c r="O8" s="29">
        <v>7.0</v>
      </c>
      <c r="P8" s="29">
        <v>8.0</v>
      </c>
      <c r="Q8" s="29">
        <v>9.0</v>
      </c>
      <c r="R8" s="29">
        <v>10.0</v>
      </c>
      <c r="S8" s="29">
        <v>1.0</v>
      </c>
      <c r="T8" s="29">
        <v>2.0</v>
      </c>
      <c r="U8" s="29">
        <v>3.0</v>
      </c>
      <c r="V8" s="29">
        <v>4.0</v>
      </c>
      <c r="W8" s="29">
        <v>5.0</v>
      </c>
      <c r="X8" s="29">
        <v>6.0</v>
      </c>
      <c r="Y8" s="29">
        <v>7.0</v>
      </c>
      <c r="Z8" s="29">
        <v>8.0</v>
      </c>
      <c r="AA8" s="29">
        <v>9.0</v>
      </c>
      <c r="AB8" s="29">
        <v>10.0</v>
      </c>
      <c r="AC8" s="29">
        <v>1.0</v>
      </c>
      <c r="AD8" s="29">
        <v>2.0</v>
      </c>
      <c r="AE8" s="29">
        <v>3.0</v>
      </c>
      <c r="AF8" s="29">
        <v>4.0</v>
      </c>
      <c r="AG8" s="29">
        <v>5.0</v>
      </c>
      <c r="AH8" s="29">
        <v>6.0</v>
      </c>
      <c r="AI8" s="29">
        <v>7.0</v>
      </c>
      <c r="AJ8" s="29">
        <v>8.0</v>
      </c>
      <c r="AK8" s="29">
        <v>9.0</v>
      </c>
      <c r="AL8" s="29">
        <v>10.0</v>
      </c>
      <c r="AM8" s="29">
        <v>1.0</v>
      </c>
      <c r="AN8" s="29">
        <v>2.0</v>
      </c>
      <c r="AO8" s="29">
        <v>3.0</v>
      </c>
      <c r="AP8" s="29">
        <v>4.0</v>
      </c>
      <c r="AQ8" s="29">
        <v>5.0</v>
      </c>
      <c r="AR8" s="29">
        <v>6.0</v>
      </c>
      <c r="AS8" s="29">
        <v>7.0</v>
      </c>
      <c r="AT8" s="29">
        <v>8.0</v>
      </c>
      <c r="AU8" s="29">
        <v>9.0</v>
      </c>
      <c r="AV8" s="29">
        <v>10.0</v>
      </c>
      <c r="AW8" s="29">
        <v>1.0</v>
      </c>
      <c r="AX8" s="29">
        <v>2.0</v>
      </c>
      <c r="AY8" s="29">
        <v>3.0</v>
      </c>
      <c r="AZ8" s="29">
        <v>4.0</v>
      </c>
      <c r="BA8" s="29">
        <v>5.0</v>
      </c>
      <c r="BB8" s="29">
        <v>6.0</v>
      </c>
      <c r="BC8" s="29">
        <v>7.0</v>
      </c>
      <c r="BD8" s="29">
        <v>8.0</v>
      </c>
      <c r="BE8" s="29">
        <v>9.0</v>
      </c>
      <c r="BF8" s="29">
        <v>10.0</v>
      </c>
      <c r="BG8" s="30">
        <v>1.0</v>
      </c>
      <c r="BH8" s="30">
        <v>2.0</v>
      </c>
      <c r="BI8" s="30">
        <v>3.0</v>
      </c>
      <c r="BJ8" s="30">
        <v>4.0</v>
      </c>
      <c r="BK8" s="30">
        <v>5.0</v>
      </c>
      <c r="BL8" s="30">
        <v>6.0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</row>
    <row r="9">
      <c r="A9" s="1"/>
      <c r="B9" s="31">
        <v>1.0</v>
      </c>
      <c r="C9" s="32" t="s">
        <v>25</v>
      </c>
      <c r="D9" s="33"/>
      <c r="E9" s="33"/>
      <c r="F9" s="33"/>
      <c r="G9" s="33"/>
      <c r="H9" s="34" t="str">
        <f>SUM(G10:G16)&amp;" hours"</f>
        <v>20 hours</v>
      </c>
      <c r="I9" s="35"/>
      <c r="J9" s="36"/>
      <c r="K9" s="37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8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</row>
    <row r="10">
      <c r="A10" s="1"/>
      <c r="B10" s="31">
        <v>1.1</v>
      </c>
      <c r="C10" s="39" t="s">
        <v>26</v>
      </c>
      <c r="D10" s="39" t="s">
        <v>27</v>
      </c>
      <c r="E10" s="40">
        <v>46289.0</v>
      </c>
      <c r="F10" s="40">
        <v>46289.0</v>
      </c>
      <c r="G10" s="41">
        <v>2.0</v>
      </c>
      <c r="H10" s="42">
        <v>1.0</v>
      </c>
      <c r="I10" s="43" t="s">
        <v>28</v>
      </c>
      <c r="J10" s="43" t="s">
        <v>28</v>
      </c>
      <c r="K10" s="43" t="s">
        <v>28</v>
      </c>
      <c r="L10" s="43" t="s">
        <v>28</v>
      </c>
      <c r="M10" s="43" t="s">
        <v>28</v>
      </c>
      <c r="N10" s="43" t="s">
        <v>28</v>
      </c>
      <c r="O10" s="43" t="s">
        <v>28</v>
      </c>
      <c r="P10" s="43" t="s">
        <v>28</v>
      </c>
      <c r="Q10" s="43" t="s">
        <v>28</v>
      </c>
      <c r="R10" s="43" t="s">
        <v>28</v>
      </c>
      <c r="S10" s="43" t="s">
        <v>28</v>
      </c>
      <c r="T10" s="43" t="s">
        <v>28</v>
      </c>
      <c r="U10" s="43" t="s">
        <v>28</v>
      </c>
      <c r="V10" s="43" t="s">
        <v>28</v>
      </c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38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</row>
    <row r="11">
      <c r="A11" s="1"/>
      <c r="B11" s="31">
        <v>1.2</v>
      </c>
      <c r="C11" s="39" t="s">
        <v>29</v>
      </c>
      <c r="D11" s="39" t="s">
        <v>27</v>
      </c>
      <c r="E11" s="40">
        <v>46289.0</v>
      </c>
      <c r="F11" s="40">
        <v>46294.0</v>
      </c>
      <c r="G11" s="41">
        <v>3.0</v>
      </c>
      <c r="H11" s="42">
        <v>1.0</v>
      </c>
      <c r="I11" s="43" t="s">
        <v>28</v>
      </c>
      <c r="J11" s="43" t="s">
        <v>28</v>
      </c>
      <c r="K11" s="43" t="s">
        <v>28</v>
      </c>
      <c r="L11" s="43" t="s">
        <v>28</v>
      </c>
      <c r="M11" s="43" t="s">
        <v>28</v>
      </c>
      <c r="N11" s="43" t="s">
        <v>28</v>
      </c>
      <c r="O11" s="43" t="s">
        <v>28</v>
      </c>
      <c r="P11" s="43" t="s">
        <v>28</v>
      </c>
      <c r="Q11" s="43" t="s">
        <v>28</v>
      </c>
      <c r="R11" s="43" t="s">
        <v>28</v>
      </c>
      <c r="S11" s="43" t="s">
        <v>28</v>
      </c>
      <c r="T11" s="43" t="s">
        <v>28</v>
      </c>
      <c r="U11" s="43" t="s">
        <v>28</v>
      </c>
      <c r="V11" s="43" t="s">
        <v>28</v>
      </c>
      <c r="W11" s="43" t="s">
        <v>28</v>
      </c>
      <c r="X11" s="43" t="s">
        <v>28</v>
      </c>
      <c r="Y11" s="43" t="s">
        <v>28</v>
      </c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38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</row>
    <row r="12">
      <c r="A12" s="1"/>
      <c r="B12" s="31">
        <v>1.3</v>
      </c>
      <c r="C12" s="39" t="s">
        <v>30</v>
      </c>
      <c r="D12" s="39" t="s">
        <v>27</v>
      </c>
      <c r="E12" s="40">
        <v>46289.0</v>
      </c>
      <c r="F12" s="40">
        <v>46294.0</v>
      </c>
      <c r="G12" s="41">
        <v>3.0</v>
      </c>
      <c r="H12" s="42">
        <v>1.0</v>
      </c>
      <c r="I12" s="43" t="s">
        <v>28</v>
      </c>
      <c r="J12" s="43" t="s">
        <v>28</v>
      </c>
      <c r="K12" s="43" t="s">
        <v>28</v>
      </c>
      <c r="L12" s="43" t="s">
        <v>28</v>
      </c>
      <c r="M12" s="43" t="s">
        <v>28</v>
      </c>
      <c r="N12" s="43" t="s">
        <v>28</v>
      </c>
      <c r="O12" s="43" t="s">
        <v>28</v>
      </c>
      <c r="P12" s="43" t="s">
        <v>28</v>
      </c>
      <c r="Q12" s="43" t="s">
        <v>28</v>
      </c>
      <c r="R12" s="43" t="s">
        <v>28</v>
      </c>
      <c r="S12" s="43" t="s">
        <v>28</v>
      </c>
      <c r="T12" s="43" t="s">
        <v>28</v>
      </c>
      <c r="U12" s="43" t="s">
        <v>28</v>
      </c>
      <c r="V12" s="43" t="s">
        <v>28</v>
      </c>
      <c r="W12" s="43" t="s">
        <v>28</v>
      </c>
      <c r="X12" s="43" t="s">
        <v>28</v>
      </c>
      <c r="Y12" s="43" t="s">
        <v>28</v>
      </c>
      <c r="Z12" s="43" t="s">
        <v>28</v>
      </c>
      <c r="AA12" s="43" t="s">
        <v>28</v>
      </c>
      <c r="AB12" s="43" t="s">
        <v>28</v>
      </c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38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</row>
    <row r="13">
      <c r="A13" s="1"/>
      <c r="B13" s="31">
        <v>1.4</v>
      </c>
      <c r="C13" s="39" t="s">
        <v>31</v>
      </c>
      <c r="D13" s="39" t="s">
        <v>27</v>
      </c>
      <c r="E13" s="40">
        <v>46289.0</v>
      </c>
      <c r="F13" s="40">
        <v>46294.0</v>
      </c>
      <c r="G13" s="41">
        <v>3.0</v>
      </c>
      <c r="H13" s="42">
        <v>1.0</v>
      </c>
      <c r="I13" s="43" t="s">
        <v>28</v>
      </c>
      <c r="J13" s="43" t="s">
        <v>28</v>
      </c>
      <c r="K13" s="43" t="s">
        <v>28</v>
      </c>
      <c r="L13" s="43" t="s">
        <v>28</v>
      </c>
      <c r="M13" s="43" t="s">
        <v>28</v>
      </c>
      <c r="N13" s="43" t="s">
        <v>28</v>
      </c>
      <c r="O13" s="43" t="s">
        <v>28</v>
      </c>
      <c r="P13" s="45" t="s">
        <v>32</v>
      </c>
      <c r="Q13" s="45" t="s">
        <v>32</v>
      </c>
      <c r="R13" s="45" t="s">
        <v>32</v>
      </c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38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</row>
    <row r="14">
      <c r="A14" s="1"/>
      <c r="B14" s="31">
        <v>1.5</v>
      </c>
      <c r="C14" s="39" t="s">
        <v>33</v>
      </c>
      <c r="D14" s="46" t="s">
        <v>34</v>
      </c>
      <c r="E14" s="40">
        <v>46289.0</v>
      </c>
      <c r="F14" s="40">
        <v>46294.0</v>
      </c>
      <c r="G14" s="41">
        <v>3.0</v>
      </c>
      <c r="H14" s="42">
        <v>1.0</v>
      </c>
      <c r="I14" s="43" t="s">
        <v>28</v>
      </c>
      <c r="J14" s="43" t="s">
        <v>28</v>
      </c>
      <c r="K14" s="43" t="s">
        <v>28</v>
      </c>
      <c r="L14" s="43" t="s">
        <v>28</v>
      </c>
      <c r="M14" s="43" t="s">
        <v>28</v>
      </c>
      <c r="N14" s="43" t="s">
        <v>28</v>
      </c>
      <c r="O14" s="43" t="s">
        <v>28</v>
      </c>
      <c r="P14" s="43" t="s">
        <v>28</v>
      </c>
      <c r="Q14" s="43" t="s">
        <v>28</v>
      </c>
      <c r="R14" s="43" t="s">
        <v>28</v>
      </c>
      <c r="S14" s="47" t="s">
        <v>32</v>
      </c>
      <c r="T14" s="47" t="s">
        <v>32</v>
      </c>
      <c r="U14" s="47" t="s">
        <v>32</v>
      </c>
      <c r="V14" s="47" t="s">
        <v>32</v>
      </c>
      <c r="W14" s="47" t="s">
        <v>32</v>
      </c>
      <c r="X14" s="47" t="s">
        <v>32</v>
      </c>
      <c r="Y14" s="47" t="s">
        <v>32</v>
      </c>
      <c r="Z14" s="47" t="s">
        <v>32</v>
      </c>
      <c r="AA14" s="47" t="s">
        <v>32</v>
      </c>
      <c r="AB14" s="47" t="s">
        <v>32</v>
      </c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38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</row>
    <row r="15">
      <c r="A15" s="1"/>
      <c r="B15" s="31">
        <v>1.6</v>
      </c>
      <c r="C15" s="39" t="s">
        <v>35</v>
      </c>
      <c r="D15" s="46" t="s">
        <v>36</v>
      </c>
      <c r="E15" s="40">
        <v>46289.0</v>
      </c>
      <c r="F15" s="40">
        <v>46294.0</v>
      </c>
      <c r="G15" s="41">
        <v>3.0</v>
      </c>
      <c r="H15" s="42">
        <v>1.0</v>
      </c>
      <c r="I15" s="43" t="s">
        <v>28</v>
      </c>
      <c r="J15" s="43" t="s">
        <v>28</v>
      </c>
      <c r="K15" s="43" t="s">
        <v>28</v>
      </c>
      <c r="L15" s="43" t="s">
        <v>28</v>
      </c>
      <c r="M15" s="45" t="s">
        <v>32</v>
      </c>
      <c r="N15" s="45" t="s">
        <v>32</v>
      </c>
      <c r="O15" s="45" t="s">
        <v>32</v>
      </c>
      <c r="P15" s="45" t="s">
        <v>32</v>
      </c>
      <c r="Q15" s="45" t="s">
        <v>32</v>
      </c>
      <c r="R15" s="45" t="s">
        <v>32</v>
      </c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38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</row>
    <row r="16">
      <c r="A16" s="1"/>
      <c r="B16" s="31">
        <v>1.7</v>
      </c>
      <c r="C16" s="39" t="s">
        <v>37</v>
      </c>
      <c r="D16" s="39" t="s">
        <v>27</v>
      </c>
      <c r="E16" s="40">
        <v>46289.0</v>
      </c>
      <c r="F16" s="40">
        <v>46294.0</v>
      </c>
      <c r="G16" s="41">
        <v>3.0</v>
      </c>
      <c r="H16" s="42">
        <v>1.0</v>
      </c>
      <c r="I16" s="43" t="s">
        <v>28</v>
      </c>
      <c r="J16" s="43" t="s">
        <v>28</v>
      </c>
      <c r="K16" s="43" t="s">
        <v>28</v>
      </c>
      <c r="L16" s="43" t="s">
        <v>28</v>
      </c>
      <c r="M16" s="43" t="s">
        <v>28</v>
      </c>
      <c r="N16" s="43" t="s">
        <v>28</v>
      </c>
      <c r="O16" s="43" t="s">
        <v>28</v>
      </c>
      <c r="P16" s="43" t="s">
        <v>28</v>
      </c>
      <c r="Q16" s="43" t="s">
        <v>28</v>
      </c>
      <c r="R16" s="43" t="s">
        <v>28</v>
      </c>
      <c r="S16" s="47" t="s">
        <v>32</v>
      </c>
      <c r="T16" s="47" t="s">
        <v>32</v>
      </c>
      <c r="U16" s="47" t="s">
        <v>32</v>
      </c>
      <c r="V16" s="47" t="s">
        <v>32</v>
      </c>
      <c r="W16" s="47" t="s">
        <v>32</v>
      </c>
      <c r="X16" s="47" t="s">
        <v>32</v>
      </c>
      <c r="Y16" s="47" t="s">
        <v>32</v>
      </c>
      <c r="Z16" s="47" t="s">
        <v>32</v>
      </c>
      <c r="AA16" s="47" t="s">
        <v>32</v>
      </c>
      <c r="AB16" s="47" t="s">
        <v>32</v>
      </c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38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</row>
    <row r="17">
      <c r="A17" s="1"/>
      <c r="B17" s="31">
        <v>2.0</v>
      </c>
      <c r="C17" s="32" t="s">
        <v>38</v>
      </c>
      <c r="D17" s="33"/>
      <c r="E17" s="33"/>
      <c r="F17" s="33"/>
      <c r="G17" s="33"/>
      <c r="H17" s="48" t="s">
        <v>39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38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</row>
    <row r="18">
      <c r="A18" s="1"/>
      <c r="B18" s="31">
        <v>2.1</v>
      </c>
      <c r="C18" s="39" t="s">
        <v>40</v>
      </c>
      <c r="D18" s="46" t="s">
        <v>41</v>
      </c>
      <c r="E18" s="40">
        <v>46289.0</v>
      </c>
      <c r="F18" s="40">
        <v>46294.0</v>
      </c>
      <c r="G18" s="49">
        <f t="shared" ref="G18:G24" si="1">COUNTIF(I18:BL18,"x")*2</f>
        <v>20</v>
      </c>
      <c r="H18" s="42">
        <v>1.0</v>
      </c>
      <c r="I18" s="47"/>
      <c r="J18" s="47"/>
      <c r="K18" s="47"/>
      <c r="L18" s="47"/>
      <c r="M18" s="47"/>
      <c r="N18" s="47"/>
      <c r="O18" s="47"/>
      <c r="P18" s="47"/>
      <c r="Q18" s="47" t="s">
        <v>32</v>
      </c>
      <c r="R18" s="47" t="s">
        <v>32</v>
      </c>
      <c r="S18" s="47" t="s">
        <v>32</v>
      </c>
      <c r="T18" s="47" t="s">
        <v>32</v>
      </c>
      <c r="U18" s="47" t="s">
        <v>32</v>
      </c>
      <c r="V18" s="44"/>
      <c r="W18" s="44"/>
      <c r="X18" s="44"/>
      <c r="Y18" s="50" t="s">
        <v>28</v>
      </c>
      <c r="Z18" s="50" t="s">
        <v>28</v>
      </c>
      <c r="AA18" s="50" t="s">
        <v>28</v>
      </c>
      <c r="AB18" s="50" t="s">
        <v>28</v>
      </c>
      <c r="AC18" s="50" t="s">
        <v>28</v>
      </c>
      <c r="AD18" s="50" t="s">
        <v>28</v>
      </c>
      <c r="AE18" s="50" t="s">
        <v>28</v>
      </c>
      <c r="AF18" s="50" t="s">
        <v>28</v>
      </c>
      <c r="AG18" s="50" t="s">
        <v>28</v>
      </c>
      <c r="AH18" s="50" t="s">
        <v>28</v>
      </c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38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</row>
    <row r="19">
      <c r="A19" s="1"/>
      <c r="B19" s="31">
        <v>2.2</v>
      </c>
      <c r="C19" s="39" t="s">
        <v>42</v>
      </c>
      <c r="D19" s="46" t="s">
        <v>43</v>
      </c>
      <c r="E19" s="40">
        <v>46289.0</v>
      </c>
      <c r="F19" s="40">
        <v>46294.0</v>
      </c>
      <c r="G19" s="49">
        <f t="shared" si="1"/>
        <v>12</v>
      </c>
      <c r="H19" s="42">
        <v>1.0</v>
      </c>
      <c r="I19" s="47"/>
      <c r="J19" s="47" t="s">
        <v>32</v>
      </c>
      <c r="K19" s="47" t="s">
        <v>32</v>
      </c>
      <c r="L19" s="47" t="s">
        <v>32</v>
      </c>
      <c r="M19" s="47" t="s">
        <v>32</v>
      </c>
      <c r="N19" s="47" t="s">
        <v>32</v>
      </c>
      <c r="O19" s="47" t="s">
        <v>32</v>
      </c>
      <c r="P19" s="47" t="s">
        <v>32</v>
      </c>
      <c r="Q19" s="47" t="s">
        <v>32</v>
      </c>
      <c r="R19" s="47" t="s">
        <v>32</v>
      </c>
      <c r="S19" s="47" t="s">
        <v>32</v>
      </c>
      <c r="T19" s="47" t="s">
        <v>32</v>
      </c>
      <c r="U19" s="47" t="s">
        <v>32</v>
      </c>
      <c r="V19" s="47" t="s">
        <v>32</v>
      </c>
      <c r="W19" s="47" t="s">
        <v>32</v>
      </c>
      <c r="X19" s="47" t="s">
        <v>32</v>
      </c>
      <c r="Y19" s="47" t="s">
        <v>32</v>
      </c>
      <c r="Z19" s="47" t="s">
        <v>32</v>
      </c>
      <c r="AA19" s="50" t="s">
        <v>28</v>
      </c>
      <c r="AB19" s="50" t="s">
        <v>28</v>
      </c>
      <c r="AC19" s="50" t="s">
        <v>28</v>
      </c>
      <c r="AD19" s="50" t="s">
        <v>28</v>
      </c>
      <c r="AE19" s="50" t="s">
        <v>28</v>
      </c>
      <c r="AF19" s="50" t="s">
        <v>28</v>
      </c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38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</row>
    <row r="20">
      <c r="A20" s="1"/>
      <c r="B20" s="31">
        <v>2.3</v>
      </c>
      <c r="C20" s="46" t="s">
        <v>44</v>
      </c>
      <c r="D20" s="46" t="s">
        <v>45</v>
      </c>
      <c r="E20" s="40">
        <v>46289.0</v>
      </c>
      <c r="F20" s="40">
        <v>46294.0</v>
      </c>
      <c r="G20" s="49">
        <f t="shared" si="1"/>
        <v>40</v>
      </c>
      <c r="H20" s="42">
        <v>1.0</v>
      </c>
      <c r="I20" s="47"/>
      <c r="J20" s="47" t="s">
        <v>32</v>
      </c>
      <c r="K20" s="47" t="s">
        <v>32</v>
      </c>
      <c r="L20" s="47" t="s">
        <v>32</v>
      </c>
      <c r="M20" s="47" t="s">
        <v>32</v>
      </c>
      <c r="N20" s="47" t="s">
        <v>32</v>
      </c>
      <c r="O20" s="47" t="s">
        <v>32</v>
      </c>
      <c r="P20" s="47" t="s">
        <v>32</v>
      </c>
      <c r="Q20" s="47" t="s">
        <v>32</v>
      </c>
      <c r="R20" s="47" t="s">
        <v>32</v>
      </c>
      <c r="S20" s="47" t="s">
        <v>32</v>
      </c>
      <c r="T20" s="47" t="s">
        <v>32</v>
      </c>
      <c r="U20" s="47" t="s">
        <v>32</v>
      </c>
      <c r="V20" s="47" t="s">
        <v>32</v>
      </c>
      <c r="W20" s="50" t="s">
        <v>28</v>
      </c>
      <c r="X20" s="50" t="s">
        <v>28</v>
      </c>
      <c r="Y20" s="50" t="s">
        <v>28</v>
      </c>
      <c r="Z20" s="50" t="s">
        <v>28</v>
      </c>
      <c r="AA20" s="50" t="s">
        <v>28</v>
      </c>
      <c r="AB20" s="50" t="s">
        <v>28</v>
      </c>
      <c r="AC20" s="50" t="s">
        <v>28</v>
      </c>
      <c r="AD20" s="50" t="s">
        <v>28</v>
      </c>
      <c r="AE20" s="50" t="s">
        <v>28</v>
      </c>
      <c r="AF20" s="50" t="s">
        <v>28</v>
      </c>
      <c r="AG20" s="50" t="s">
        <v>28</v>
      </c>
      <c r="AH20" s="50" t="s">
        <v>28</v>
      </c>
      <c r="AI20" s="50" t="s">
        <v>28</v>
      </c>
      <c r="AJ20" s="50" t="s">
        <v>28</v>
      </c>
      <c r="AK20" s="50" t="s">
        <v>28</v>
      </c>
      <c r="AL20" s="50" t="s">
        <v>28</v>
      </c>
      <c r="AM20" s="50" t="s">
        <v>28</v>
      </c>
      <c r="AN20" s="50" t="s">
        <v>28</v>
      </c>
      <c r="AO20" s="50" t="s">
        <v>28</v>
      </c>
      <c r="AP20" s="50" t="s">
        <v>28</v>
      </c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38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</row>
    <row r="21">
      <c r="A21" s="1"/>
      <c r="B21" s="31">
        <v>2.4</v>
      </c>
      <c r="C21" s="46" t="s">
        <v>46</v>
      </c>
      <c r="D21" s="46" t="s">
        <v>47</v>
      </c>
      <c r="E21" s="40">
        <v>46289.0</v>
      </c>
      <c r="F21" s="40">
        <v>46294.0</v>
      </c>
      <c r="G21" s="49">
        <f t="shared" si="1"/>
        <v>18</v>
      </c>
      <c r="H21" s="42">
        <v>1.0</v>
      </c>
      <c r="I21" s="47"/>
      <c r="J21" s="47" t="s">
        <v>32</v>
      </c>
      <c r="K21" s="47" t="s">
        <v>32</v>
      </c>
      <c r="L21" s="47" t="s">
        <v>32</v>
      </c>
      <c r="M21" s="47" t="s">
        <v>32</v>
      </c>
      <c r="N21" s="47" t="s">
        <v>32</v>
      </c>
      <c r="O21" s="47" t="s">
        <v>32</v>
      </c>
      <c r="P21" s="47" t="s">
        <v>32</v>
      </c>
      <c r="Q21" s="47" t="s">
        <v>32</v>
      </c>
      <c r="R21" s="47" t="s">
        <v>32</v>
      </c>
      <c r="S21" s="47" t="s">
        <v>32</v>
      </c>
      <c r="T21" s="47" t="s">
        <v>32</v>
      </c>
      <c r="U21" s="47" t="s">
        <v>32</v>
      </c>
      <c r="V21" s="47" t="s">
        <v>32</v>
      </c>
      <c r="W21" s="47" t="s">
        <v>32</v>
      </c>
      <c r="X21" s="47" t="s">
        <v>32</v>
      </c>
      <c r="Y21" s="47" t="s">
        <v>32</v>
      </c>
      <c r="Z21" s="50" t="s">
        <v>28</v>
      </c>
      <c r="AA21" s="50" t="s">
        <v>28</v>
      </c>
      <c r="AB21" s="50" t="s">
        <v>28</v>
      </c>
      <c r="AC21" s="50" t="s">
        <v>28</v>
      </c>
      <c r="AD21" s="50" t="s">
        <v>28</v>
      </c>
      <c r="AE21" s="50" t="s">
        <v>28</v>
      </c>
      <c r="AF21" s="50" t="s">
        <v>28</v>
      </c>
      <c r="AG21" s="50" t="s">
        <v>28</v>
      </c>
      <c r="AH21" s="50" t="s">
        <v>28</v>
      </c>
      <c r="AI21" s="47" t="s">
        <v>32</v>
      </c>
      <c r="AJ21" s="47" t="s">
        <v>32</v>
      </c>
      <c r="AK21" s="47" t="s">
        <v>32</v>
      </c>
      <c r="AL21" s="47" t="s">
        <v>32</v>
      </c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38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</row>
    <row r="22">
      <c r="A22" s="1"/>
      <c r="B22" s="31">
        <v>2.5</v>
      </c>
      <c r="C22" s="39" t="s">
        <v>48</v>
      </c>
      <c r="D22" s="46" t="s">
        <v>49</v>
      </c>
      <c r="E22" s="40">
        <v>46289.0</v>
      </c>
      <c r="F22" s="40">
        <v>46294.0</v>
      </c>
      <c r="G22" s="49">
        <f t="shared" si="1"/>
        <v>24</v>
      </c>
      <c r="H22" s="42">
        <v>1.0</v>
      </c>
      <c r="I22" s="47"/>
      <c r="J22" s="44"/>
      <c r="K22" s="44"/>
      <c r="L22" s="44"/>
      <c r="M22" s="44"/>
      <c r="N22" s="44"/>
      <c r="O22" s="44"/>
      <c r="P22" s="44"/>
      <c r="Q22" s="44"/>
      <c r="R22" s="44"/>
      <c r="S22" s="47" t="s">
        <v>32</v>
      </c>
      <c r="T22" s="47" t="s">
        <v>32</v>
      </c>
      <c r="U22" s="47" t="s">
        <v>32</v>
      </c>
      <c r="V22" s="47" t="s">
        <v>32</v>
      </c>
      <c r="W22" s="47" t="s">
        <v>32</v>
      </c>
      <c r="X22" s="47" t="s">
        <v>32</v>
      </c>
      <c r="Y22" s="47" t="s">
        <v>32</v>
      </c>
      <c r="Z22" s="47" t="s">
        <v>32</v>
      </c>
      <c r="AA22" s="47" t="s">
        <v>32</v>
      </c>
      <c r="AB22" s="47" t="s">
        <v>32</v>
      </c>
      <c r="AC22" s="47" t="s">
        <v>32</v>
      </c>
      <c r="AD22" s="47" t="s">
        <v>32</v>
      </c>
      <c r="AE22" s="47" t="s">
        <v>32</v>
      </c>
      <c r="AF22" s="47" t="s">
        <v>32</v>
      </c>
      <c r="AG22" s="47" t="s">
        <v>32</v>
      </c>
      <c r="AH22" s="47" t="s">
        <v>32</v>
      </c>
      <c r="AI22" s="47" t="s">
        <v>32</v>
      </c>
      <c r="AJ22" s="47" t="s">
        <v>32</v>
      </c>
      <c r="AK22" s="47" t="s">
        <v>32</v>
      </c>
      <c r="AL22" s="50" t="s">
        <v>28</v>
      </c>
      <c r="AM22" s="50" t="s">
        <v>28</v>
      </c>
      <c r="AN22" s="50" t="s">
        <v>28</v>
      </c>
      <c r="AO22" s="50" t="s">
        <v>28</v>
      </c>
      <c r="AP22" s="50" t="s">
        <v>28</v>
      </c>
      <c r="AQ22" s="50" t="s">
        <v>28</v>
      </c>
      <c r="AR22" s="50" t="s">
        <v>28</v>
      </c>
      <c r="AS22" s="50" t="s">
        <v>28</v>
      </c>
      <c r="AT22" s="50" t="s">
        <v>28</v>
      </c>
      <c r="AU22" s="50" t="s">
        <v>28</v>
      </c>
      <c r="AV22" s="50" t="s">
        <v>28</v>
      </c>
      <c r="AW22" s="50" t="s">
        <v>28</v>
      </c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38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</row>
    <row r="23">
      <c r="A23" s="1"/>
      <c r="B23" s="31">
        <v>2.6</v>
      </c>
      <c r="C23" s="46" t="s">
        <v>50</v>
      </c>
      <c r="D23" s="46" t="s">
        <v>51</v>
      </c>
      <c r="E23" s="40">
        <v>46289.0</v>
      </c>
      <c r="F23" s="40">
        <v>46294.0</v>
      </c>
      <c r="G23" s="49">
        <f t="shared" si="1"/>
        <v>20</v>
      </c>
      <c r="H23" s="42">
        <v>1.0</v>
      </c>
      <c r="I23" s="47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7" t="s">
        <v>32</v>
      </c>
      <c r="AD23" s="47" t="s">
        <v>32</v>
      </c>
      <c r="AE23" s="47" t="s">
        <v>32</v>
      </c>
      <c r="AF23" s="47" t="s">
        <v>32</v>
      </c>
      <c r="AG23" s="50" t="s">
        <v>28</v>
      </c>
      <c r="AH23" s="50" t="s">
        <v>28</v>
      </c>
      <c r="AI23" s="50" t="s">
        <v>28</v>
      </c>
      <c r="AJ23" s="50" t="s">
        <v>28</v>
      </c>
      <c r="AK23" s="50" t="s">
        <v>28</v>
      </c>
      <c r="AL23" s="50" t="s">
        <v>28</v>
      </c>
      <c r="AM23" s="50" t="s">
        <v>28</v>
      </c>
      <c r="AN23" s="50" t="s">
        <v>28</v>
      </c>
      <c r="AO23" s="50" t="s">
        <v>28</v>
      </c>
      <c r="AP23" s="50" t="s">
        <v>28</v>
      </c>
      <c r="AQ23" s="47" t="s">
        <v>32</v>
      </c>
      <c r="AR23" s="47" t="s">
        <v>32</v>
      </c>
      <c r="AS23" s="47" t="s">
        <v>32</v>
      </c>
      <c r="AT23" s="47" t="s">
        <v>32</v>
      </c>
      <c r="AU23" s="47" t="s">
        <v>32</v>
      </c>
      <c r="AV23" s="47" t="s">
        <v>32</v>
      </c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38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</row>
    <row r="24">
      <c r="A24" s="1"/>
      <c r="B24" s="31">
        <v>2.7</v>
      </c>
      <c r="C24" s="46" t="s">
        <v>52</v>
      </c>
      <c r="D24" s="46" t="s">
        <v>53</v>
      </c>
      <c r="E24" s="40">
        <v>46289.0</v>
      </c>
      <c r="F24" s="40">
        <v>46294.0</v>
      </c>
      <c r="G24" s="49">
        <f t="shared" si="1"/>
        <v>18</v>
      </c>
      <c r="H24" s="42">
        <v>1.0</v>
      </c>
      <c r="I24" s="47"/>
      <c r="J24" s="44"/>
      <c r="K24" s="44"/>
      <c r="L24" s="44"/>
      <c r="M24" s="44"/>
      <c r="N24" s="44"/>
      <c r="O24" s="44"/>
      <c r="P24" s="44"/>
      <c r="Q24" s="44"/>
      <c r="R24" s="44"/>
      <c r="S24" s="47" t="s">
        <v>32</v>
      </c>
      <c r="T24" s="47" t="s">
        <v>32</v>
      </c>
      <c r="U24" s="47" t="s">
        <v>32</v>
      </c>
      <c r="V24" s="47" t="s">
        <v>32</v>
      </c>
      <c r="W24" s="47" t="s">
        <v>32</v>
      </c>
      <c r="X24" s="47" t="s">
        <v>32</v>
      </c>
      <c r="Y24" s="47" t="s">
        <v>32</v>
      </c>
      <c r="Z24" s="47" t="s">
        <v>32</v>
      </c>
      <c r="AA24" s="47" t="s">
        <v>32</v>
      </c>
      <c r="AB24" s="47" t="s">
        <v>32</v>
      </c>
      <c r="AC24" s="47" t="s">
        <v>32</v>
      </c>
      <c r="AD24" s="47" t="s">
        <v>32</v>
      </c>
      <c r="AE24" s="47" t="s">
        <v>32</v>
      </c>
      <c r="AF24" s="47" t="s">
        <v>32</v>
      </c>
      <c r="AG24" s="47" t="s">
        <v>32</v>
      </c>
      <c r="AH24" s="47" t="s">
        <v>32</v>
      </c>
      <c r="AI24" s="47" t="s">
        <v>32</v>
      </c>
      <c r="AJ24" s="47" t="s">
        <v>32</v>
      </c>
      <c r="AK24" s="47" t="s">
        <v>32</v>
      </c>
      <c r="AL24" s="47" t="s">
        <v>32</v>
      </c>
      <c r="AM24" s="44"/>
      <c r="AN24" s="44"/>
      <c r="AO24" s="44"/>
      <c r="AP24" s="44"/>
      <c r="AQ24" s="50" t="s">
        <v>28</v>
      </c>
      <c r="AR24" s="50" t="s">
        <v>28</v>
      </c>
      <c r="AS24" s="50" t="s">
        <v>28</v>
      </c>
      <c r="AT24" s="50" t="s">
        <v>28</v>
      </c>
      <c r="AU24" s="50" t="s">
        <v>28</v>
      </c>
      <c r="AV24" s="50" t="s">
        <v>28</v>
      </c>
      <c r="AW24" s="50" t="s">
        <v>28</v>
      </c>
      <c r="AX24" s="50" t="s">
        <v>28</v>
      </c>
      <c r="AY24" s="50" t="s">
        <v>28</v>
      </c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38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</row>
    <row r="25">
      <c r="A25" s="1"/>
      <c r="B25" s="31">
        <v>3.0</v>
      </c>
      <c r="C25" s="32" t="s">
        <v>54</v>
      </c>
      <c r="D25" s="33"/>
      <c r="E25" s="33"/>
      <c r="F25" s="33"/>
      <c r="G25" s="33"/>
      <c r="H25" s="48" t="s">
        <v>55</v>
      </c>
      <c r="I25" s="47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38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</row>
    <row r="26">
      <c r="A26" s="1"/>
      <c r="B26" s="31">
        <v>3.1</v>
      </c>
      <c r="C26" s="39" t="s">
        <v>56</v>
      </c>
      <c r="D26" s="46" t="s">
        <v>45</v>
      </c>
      <c r="E26" s="40">
        <v>46289.0</v>
      </c>
      <c r="F26" s="40">
        <v>46294.0</v>
      </c>
      <c r="G26" s="49">
        <f t="shared" ref="G26:G32" si="2">COUNTIF(I26:BL26,"x")*2</f>
        <v>20</v>
      </c>
      <c r="H26" s="42">
        <v>1.0</v>
      </c>
      <c r="I26" s="44"/>
      <c r="J26" s="44"/>
      <c r="K26" s="44"/>
      <c r="L26" s="44"/>
      <c r="M26" s="44"/>
      <c r="N26" s="44"/>
      <c r="O26" s="44"/>
      <c r="P26" s="44"/>
      <c r="Q26" s="51" t="s">
        <v>28</v>
      </c>
      <c r="R26" s="51" t="s">
        <v>28</v>
      </c>
      <c r="S26" s="51" t="s">
        <v>28</v>
      </c>
      <c r="T26" s="51" t="s">
        <v>28</v>
      </c>
      <c r="U26" s="51" t="s">
        <v>28</v>
      </c>
      <c r="V26" s="51" t="s">
        <v>28</v>
      </c>
      <c r="W26" s="51" t="s">
        <v>28</v>
      </c>
      <c r="X26" s="51" t="s">
        <v>28</v>
      </c>
      <c r="Y26" s="51" t="s">
        <v>28</v>
      </c>
      <c r="Z26" s="51" t="s">
        <v>28</v>
      </c>
      <c r="AA26" s="47" t="s">
        <v>32</v>
      </c>
      <c r="AB26" s="47" t="s">
        <v>32</v>
      </c>
      <c r="AC26" s="47" t="s">
        <v>32</v>
      </c>
      <c r="AD26" s="47" t="s">
        <v>32</v>
      </c>
      <c r="AE26" s="47" t="s">
        <v>32</v>
      </c>
      <c r="AF26" s="47" t="s">
        <v>32</v>
      </c>
      <c r="AG26" s="47" t="s">
        <v>32</v>
      </c>
      <c r="AH26" s="47" t="s">
        <v>32</v>
      </c>
      <c r="AI26" s="47" t="s">
        <v>32</v>
      </c>
      <c r="AJ26" s="47" t="s">
        <v>32</v>
      </c>
      <c r="AK26" s="47" t="s">
        <v>32</v>
      </c>
      <c r="AL26" s="47" t="s">
        <v>32</v>
      </c>
      <c r="AM26" s="47" t="s">
        <v>32</v>
      </c>
      <c r="AN26" s="47" t="s">
        <v>32</v>
      </c>
      <c r="AO26" s="47" t="s">
        <v>32</v>
      </c>
      <c r="AP26" s="47" t="s">
        <v>32</v>
      </c>
      <c r="AQ26" s="47" t="s">
        <v>32</v>
      </c>
      <c r="AR26" s="47" t="s">
        <v>32</v>
      </c>
      <c r="AS26" s="47" t="s">
        <v>32</v>
      </c>
      <c r="AT26" s="47" t="s">
        <v>32</v>
      </c>
      <c r="AU26" s="47" t="s">
        <v>32</v>
      </c>
      <c r="AV26" s="47" t="s">
        <v>32</v>
      </c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38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</row>
    <row r="27">
      <c r="A27" s="1"/>
      <c r="B27" s="31">
        <v>3.2</v>
      </c>
      <c r="C27" s="39" t="s">
        <v>57</v>
      </c>
      <c r="D27" s="46" t="s">
        <v>58</v>
      </c>
      <c r="E27" s="40">
        <v>46289.0</v>
      </c>
      <c r="F27" s="40">
        <v>46294.0</v>
      </c>
      <c r="G27" s="49">
        <f t="shared" si="2"/>
        <v>22</v>
      </c>
      <c r="H27" s="42">
        <v>1.0</v>
      </c>
      <c r="I27" s="44"/>
      <c r="J27" s="44"/>
      <c r="K27" s="44"/>
      <c r="L27" s="44"/>
      <c r="M27" s="44"/>
      <c r="N27" s="44"/>
      <c r="O27" s="44"/>
      <c r="P27" s="44"/>
      <c r="Q27" s="51" t="s">
        <v>28</v>
      </c>
      <c r="R27" s="51" t="s">
        <v>28</v>
      </c>
      <c r="S27" s="51" t="s">
        <v>28</v>
      </c>
      <c r="T27" s="51" t="s">
        <v>28</v>
      </c>
      <c r="U27" s="51" t="s">
        <v>28</v>
      </c>
      <c r="V27" s="51" t="s">
        <v>28</v>
      </c>
      <c r="W27" s="51" t="s">
        <v>28</v>
      </c>
      <c r="X27" s="51" t="s">
        <v>28</v>
      </c>
      <c r="Y27" s="51" t="s">
        <v>28</v>
      </c>
      <c r="Z27" s="51" t="s">
        <v>28</v>
      </c>
      <c r="AA27" s="51" t="s">
        <v>28</v>
      </c>
      <c r="AB27" s="47" t="s">
        <v>32</v>
      </c>
      <c r="AC27" s="47" t="s">
        <v>32</v>
      </c>
      <c r="AD27" s="47" t="s">
        <v>32</v>
      </c>
      <c r="AE27" s="47" t="s">
        <v>32</v>
      </c>
      <c r="AF27" s="47" t="s">
        <v>32</v>
      </c>
      <c r="AG27" s="47" t="s">
        <v>32</v>
      </c>
      <c r="AH27" s="47" t="s">
        <v>32</v>
      </c>
      <c r="AI27" s="47" t="s">
        <v>32</v>
      </c>
      <c r="AJ27" s="47" t="s">
        <v>32</v>
      </c>
      <c r="AK27" s="47" t="s">
        <v>32</v>
      </c>
      <c r="AL27" s="47" t="s">
        <v>32</v>
      </c>
      <c r="AM27" s="47" t="s">
        <v>32</v>
      </c>
      <c r="AN27" s="47" t="s">
        <v>32</v>
      </c>
      <c r="AO27" s="47" t="s">
        <v>32</v>
      </c>
      <c r="AP27" s="47" t="s">
        <v>32</v>
      </c>
      <c r="AQ27" s="47" t="s">
        <v>32</v>
      </c>
      <c r="AR27" s="47" t="s">
        <v>32</v>
      </c>
      <c r="AS27" s="47" t="s">
        <v>32</v>
      </c>
      <c r="AT27" s="47" t="s">
        <v>32</v>
      </c>
      <c r="AU27" s="47" t="s">
        <v>32</v>
      </c>
      <c r="AV27" s="47" t="s">
        <v>32</v>
      </c>
      <c r="AW27" s="47" t="s">
        <v>32</v>
      </c>
      <c r="AX27" s="47" t="s">
        <v>32</v>
      </c>
      <c r="AY27" s="47" t="s">
        <v>32</v>
      </c>
      <c r="AZ27" s="47" t="s">
        <v>32</v>
      </c>
      <c r="BA27" s="47" t="s">
        <v>32</v>
      </c>
      <c r="BB27" s="47" t="s">
        <v>32</v>
      </c>
      <c r="BC27" s="47" t="s">
        <v>32</v>
      </c>
      <c r="BD27" s="47" t="s">
        <v>32</v>
      </c>
      <c r="BE27" s="47" t="s">
        <v>32</v>
      </c>
      <c r="BF27" s="47" t="s">
        <v>32</v>
      </c>
      <c r="BG27" s="44"/>
      <c r="BH27" s="44"/>
      <c r="BI27" s="44"/>
      <c r="BJ27" s="44"/>
      <c r="BK27" s="44"/>
      <c r="BL27" s="44"/>
      <c r="BM27" s="38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</row>
    <row r="28">
      <c r="A28" s="1"/>
      <c r="B28" s="31">
        <v>3.3</v>
      </c>
      <c r="C28" s="46" t="s">
        <v>59</v>
      </c>
      <c r="D28" s="46" t="s">
        <v>58</v>
      </c>
      <c r="E28" s="40">
        <v>46289.0</v>
      </c>
      <c r="F28" s="40">
        <v>46294.0</v>
      </c>
      <c r="G28" s="49">
        <f t="shared" si="2"/>
        <v>16</v>
      </c>
      <c r="H28" s="42">
        <v>1.0</v>
      </c>
      <c r="I28" s="44"/>
      <c r="J28" s="44"/>
      <c r="K28" s="44"/>
      <c r="L28" s="44"/>
      <c r="M28" s="44"/>
      <c r="N28" s="44"/>
      <c r="O28" s="44"/>
      <c r="P28" s="44"/>
      <c r="Q28" s="51" t="s">
        <v>28</v>
      </c>
      <c r="R28" s="51" t="s">
        <v>28</v>
      </c>
      <c r="S28" s="51" t="s">
        <v>28</v>
      </c>
      <c r="T28" s="51" t="s">
        <v>28</v>
      </c>
      <c r="U28" s="51" t="s">
        <v>28</v>
      </c>
      <c r="V28" s="51" t="s">
        <v>28</v>
      </c>
      <c r="W28" s="51" t="s">
        <v>28</v>
      </c>
      <c r="X28" s="51" t="s">
        <v>28</v>
      </c>
      <c r="Y28" s="47" t="s">
        <v>32</v>
      </c>
      <c r="Z28" s="47" t="s">
        <v>32</v>
      </c>
      <c r="AA28" s="47" t="s">
        <v>32</v>
      </c>
      <c r="AB28" s="47" t="s">
        <v>32</v>
      </c>
      <c r="AC28" s="47" t="s">
        <v>32</v>
      </c>
      <c r="AD28" s="47" t="s">
        <v>32</v>
      </c>
      <c r="AE28" s="47" t="s">
        <v>32</v>
      </c>
      <c r="AF28" s="47" t="s">
        <v>32</v>
      </c>
      <c r="AG28" s="47" t="s">
        <v>32</v>
      </c>
      <c r="AH28" s="47" t="s">
        <v>32</v>
      </c>
      <c r="AI28" s="47" t="s">
        <v>32</v>
      </c>
      <c r="AJ28" s="47" t="s">
        <v>32</v>
      </c>
      <c r="AK28" s="47" t="s">
        <v>32</v>
      </c>
      <c r="AL28" s="47" t="s">
        <v>32</v>
      </c>
      <c r="AM28" s="47" t="s">
        <v>32</v>
      </c>
      <c r="AN28" s="47" t="s">
        <v>32</v>
      </c>
      <c r="AO28" s="47" t="s">
        <v>32</v>
      </c>
      <c r="AP28" s="47" t="s">
        <v>32</v>
      </c>
      <c r="AQ28" s="47" t="s">
        <v>32</v>
      </c>
      <c r="AR28" s="47" t="s">
        <v>32</v>
      </c>
      <c r="AS28" s="47" t="s">
        <v>32</v>
      </c>
      <c r="AT28" s="47" t="s">
        <v>32</v>
      </c>
      <c r="AU28" s="47" t="s">
        <v>32</v>
      </c>
      <c r="AV28" s="47" t="s">
        <v>32</v>
      </c>
      <c r="AW28" s="47" t="s">
        <v>32</v>
      </c>
      <c r="AX28" s="47" t="s">
        <v>32</v>
      </c>
      <c r="AY28" s="47" t="s">
        <v>32</v>
      </c>
      <c r="AZ28" s="47" t="s">
        <v>32</v>
      </c>
      <c r="BA28" s="47" t="s">
        <v>32</v>
      </c>
      <c r="BB28" s="47" t="s">
        <v>32</v>
      </c>
      <c r="BC28" s="47" t="s">
        <v>32</v>
      </c>
      <c r="BD28" s="47" t="s">
        <v>32</v>
      </c>
      <c r="BE28" s="47" t="s">
        <v>32</v>
      </c>
      <c r="BF28" s="47" t="s">
        <v>32</v>
      </c>
      <c r="BG28" s="44"/>
      <c r="BH28" s="44"/>
      <c r="BI28" s="44"/>
      <c r="BJ28" s="44"/>
      <c r="BK28" s="44"/>
      <c r="BL28" s="44"/>
      <c r="BM28" s="38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</row>
    <row r="29">
      <c r="A29" s="1"/>
      <c r="B29" s="31">
        <v>3.4</v>
      </c>
      <c r="C29" s="46" t="s">
        <v>60</v>
      </c>
      <c r="D29" s="46" t="s">
        <v>43</v>
      </c>
      <c r="E29" s="40">
        <v>46289.0</v>
      </c>
      <c r="F29" s="40">
        <v>46294.0</v>
      </c>
      <c r="G29" s="49">
        <f t="shared" si="2"/>
        <v>24</v>
      </c>
      <c r="H29" s="42">
        <v>1.0</v>
      </c>
      <c r="I29" s="44"/>
      <c r="J29" s="44"/>
      <c r="K29" s="44"/>
      <c r="L29" s="44"/>
      <c r="M29" s="44"/>
      <c r="N29" s="44"/>
      <c r="O29" s="44"/>
      <c r="P29" s="44"/>
      <c r="Q29" s="51" t="s">
        <v>28</v>
      </c>
      <c r="R29" s="51" t="s">
        <v>28</v>
      </c>
      <c r="S29" s="51" t="s">
        <v>28</v>
      </c>
      <c r="T29" s="51" t="s">
        <v>28</v>
      </c>
      <c r="U29" s="51" t="s">
        <v>28</v>
      </c>
      <c r="V29" s="51" t="s">
        <v>28</v>
      </c>
      <c r="W29" s="51" t="s">
        <v>28</v>
      </c>
      <c r="X29" s="51" t="s">
        <v>28</v>
      </c>
      <c r="Y29" s="51" t="s">
        <v>28</v>
      </c>
      <c r="Z29" s="51" t="s">
        <v>28</v>
      </c>
      <c r="AA29" s="51" t="s">
        <v>28</v>
      </c>
      <c r="AB29" s="51" t="s">
        <v>28</v>
      </c>
      <c r="AC29" s="47" t="s">
        <v>32</v>
      </c>
      <c r="AD29" s="47" t="s">
        <v>32</v>
      </c>
      <c r="AE29" s="47" t="s">
        <v>32</v>
      </c>
      <c r="AF29" s="47" t="s">
        <v>32</v>
      </c>
      <c r="AG29" s="47" t="s">
        <v>32</v>
      </c>
      <c r="AH29" s="47" t="s">
        <v>32</v>
      </c>
      <c r="AI29" s="47" t="s">
        <v>32</v>
      </c>
      <c r="AJ29" s="47" t="s">
        <v>32</v>
      </c>
      <c r="AK29" s="47" t="s">
        <v>32</v>
      </c>
      <c r="AL29" s="47" t="s">
        <v>32</v>
      </c>
      <c r="AM29" s="47" t="s">
        <v>32</v>
      </c>
      <c r="AN29" s="47" t="s">
        <v>32</v>
      </c>
      <c r="AO29" s="47" t="s">
        <v>32</v>
      </c>
      <c r="AP29" s="47" t="s">
        <v>32</v>
      </c>
      <c r="AQ29" s="47" t="s">
        <v>32</v>
      </c>
      <c r="AR29" s="47" t="s">
        <v>32</v>
      </c>
      <c r="AS29" s="47" t="s">
        <v>32</v>
      </c>
      <c r="AT29" s="47" t="s">
        <v>32</v>
      </c>
      <c r="AU29" s="47" t="s">
        <v>32</v>
      </c>
      <c r="AV29" s="47" t="s">
        <v>32</v>
      </c>
      <c r="AW29" s="47" t="s">
        <v>32</v>
      </c>
      <c r="AX29" s="47" t="s">
        <v>32</v>
      </c>
      <c r="AY29" s="47" t="s">
        <v>32</v>
      </c>
      <c r="AZ29" s="47" t="s">
        <v>32</v>
      </c>
      <c r="BA29" s="47" t="s">
        <v>32</v>
      </c>
      <c r="BB29" s="47" t="s">
        <v>32</v>
      </c>
      <c r="BC29" s="47" t="s">
        <v>32</v>
      </c>
      <c r="BD29" s="47" t="s">
        <v>32</v>
      </c>
      <c r="BE29" s="47" t="s">
        <v>32</v>
      </c>
      <c r="BF29" s="47" t="s">
        <v>32</v>
      </c>
      <c r="BG29" s="47" t="s">
        <v>32</v>
      </c>
      <c r="BH29" s="47" t="s">
        <v>32</v>
      </c>
      <c r="BI29" s="47" t="s">
        <v>32</v>
      </c>
      <c r="BJ29" s="47" t="s">
        <v>32</v>
      </c>
      <c r="BK29" s="47" t="s">
        <v>32</v>
      </c>
      <c r="BL29" s="47" t="s">
        <v>32</v>
      </c>
      <c r="BM29" s="38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</row>
    <row r="30">
      <c r="A30" s="1"/>
      <c r="B30" s="31">
        <v>3.5</v>
      </c>
      <c r="C30" s="39" t="s">
        <v>61</v>
      </c>
      <c r="D30" s="46" t="s">
        <v>43</v>
      </c>
      <c r="E30" s="40">
        <v>46289.0</v>
      </c>
      <c r="F30" s="40">
        <v>46294.0</v>
      </c>
      <c r="G30" s="49">
        <f t="shared" si="2"/>
        <v>28</v>
      </c>
      <c r="H30" s="42">
        <v>1.0</v>
      </c>
      <c r="I30" s="44"/>
      <c r="J30" s="44"/>
      <c r="K30" s="44"/>
      <c r="L30" s="44"/>
      <c r="M30" s="44"/>
      <c r="N30" s="44"/>
      <c r="O30" s="44"/>
      <c r="P30" s="44"/>
      <c r="Q30" s="51" t="s">
        <v>28</v>
      </c>
      <c r="R30" s="51" t="s">
        <v>28</v>
      </c>
      <c r="S30" s="51" t="s">
        <v>28</v>
      </c>
      <c r="T30" s="51" t="s">
        <v>28</v>
      </c>
      <c r="U30" s="51" t="s">
        <v>28</v>
      </c>
      <c r="V30" s="51" t="s">
        <v>28</v>
      </c>
      <c r="W30" s="51" t="s">
        <v>28</v>
      </c>
      <c r="X30" s="51" t="s">
        <v>28</v>
      </c>
      <c r="Y30" s="51" t="s">
        <v>28</v>
      </c>
      <c r="Z30" s="51" t="s">
        <v>28</v>
      </c>
      <c r="AA30" s="51" t="s">
        <v>28</v>
      </c>
      <c r="AB30" s="51" t="s">
        <v>28</v>
      </c>
      <c r="AC30" s="51" t="s">
        <v>28</v>
      </c>
      <c r="AD30" s="51" t="s">
        <v>28</v>
      </c>
      <c r="AE30" s="47" t="s">
        <v>32</v>
      </c>
      <c r="AF30" s="47" t="s">
        <v>32</v>
      </c>
      <c r="AG30" s="47" t="s">
        <v>32</v>
      </c>
      <c r="AH30" s="47" t="s">
        <v>32</v>
      </c>
      <c r="AI30" s="47" t="s">
        <v>32</v>
      </c>
      <c r="AJ30" s="47" t="s">
        <v>32</v>
      </c>
      <c r="AK30" s="47" t="s">
        <v>32</v>
      </c>
      <c r="AL30" s="47" t="s">
        <v>32</v>
      </c>
      <c r="AM30" s="47" t="s">
        <v>32</v>
      </c>
      <c r="AN30" s="47" t="s">
        <v>32</v>
      </c>
      <c r="AO30" s="47" t="s">
        <v>32</v>
      </c>
      <c r="AP30" s="47" t="s">
        <v>32</v>
      </c>
      <c r="AQ30" s="47" t="s">
        <v>32</v>
      </c>
      <c r="AR30" s="47" t="s">
        <v>32</v>
      </c>
      <c r="AS30" s="47" t="s">
        <v>32</v>
      </c>
      <c r="AT30" s="47" t="s">
        <v>32</v>
      </c>
      <c r="AU30" s="47" t="s">
        <v>32</v>
      </c>
      <c r="AV30" s="47" t="s">
        <v>32</v>
      </c>
      <c r="AW30" s="47" t="s">
        <v>32</v>
      </c>
      <c r="AX30" s="47" t="s">
        <v>32</v>
      </c>
      <c r="AY30" s="47" t="s">
        <v>32</v>
      </c>
      <c r="AZ30" s="47" t="s">
        <v>32</v>
      </c>
      <c r="BA30" s="47" t="s">
        <v>32</v>
      </c>
      <c r="BB30" s="47" t="s">
        <v>32</v>
      </c>
      <c r="BC30" s="47" t="s">
        <v>32</v>
      </c>
      <c r="BD30" s="47" t="s">
        <v>32</v>
      </c>
      <c r="BE30" s="47" t="s">
        <v>32</v>
      </c>
      <c r="BF30" s="47" t="s">
        <v>32</v>
      </c>
      <c r="BG30" s="47" t="s">
        <v>32</v>
      </c>
      <c r="BH30" s="47" t="s">
        <v>32</v>
      </c>
      <c r="BI30" s="47" t="s">
        <v>32</v>
      </c>
      <c r="BJ30" s="47" t="s">
        <v>32</v>
      </c>
      <c r="BK30" s="47" t="s">
        <v>32</v>
      </c>
      <c r="BL30" s="47" t="s">
        <v>32</v>
      </c>
      <c r="BM30" s="38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</row>
    <row r="31">
      <c r="A31" s="1"/>
      <c r="B31" s="31">
        <v>3.6</v>
      </c>
      <c r="C31" s="39" t="s">
        <v>62</v>
      </c>
      <c r="D31" s="46" t="s">
        <v>36</v>
      </c>
      <c r="E31" s="40">
        <v>46289.0</v>
      </c>
      <c r="F31" s="40">
        <v>46294.0</v>
      </c>
      <c r="G31" s="49">
        <f t="shared" si="2"/>
        <v>20</v>
      </c>
      <c r="H31" s="42">
        <v>1.0</v>
      </c>
      <c r="I31" s="44"/>
      <c r="J31" s="44"/>
      <c r="K31" s="44"/>
      <c r="L31" s="44"/>
      <c r="M31" s="44"/>
      <c r="N31" s="44"/>
      <c r="O31" s="44"/>
      <c r="P31" s="44"/>
      <c r="Q31" s="51" t="s">
        <v>28</v>
      </c>
      <c r="R31" s="51" t="s">
        <v>28</v>
      </c>
      <c r="S31" s="51" t="s">
        <v>28</v>
      </c>
      <c r="T31" s="51" t="s">
        <v>28</v>
      </c>
      <c r="U31" s="51" t="s">
        <v>28</v>
      </c>
      <c r="V31" s="51" t="s">
        <v>28</v>
      </c>
      <c r="W31" s="51" t="s">
        <v>28</v>
      </c>
      <c r="X31" s="51" t="s">
        <v>28</v>
      </c>
      <c r="Y31" s="51" t="s">
        <v>28</v>
      </c>
      <c r="Z31" s="51" t="s">
        <v>28</v>
      </c>
      <c r="AA31" s="47" t="s">
        <v>32</v>
      </c>
      <c r="AB31" s="47" t="s">
        <v>32</v>
      </c>
      <c r="AC31" s="47" t="s">
        <v>32</v>
      </c>
      <c r="AD31" s="47" t="s">
        <v>32</v>
      </c>
      <c r="AE31" s="47" t="s">
        <v>32</v>
      </c>
      <c r="AF31" s="47" t="s">
        <v>32</v>
      </c>
      <c r="AG31" s="47" t="s">
        <v>32</v>
      </c>
      <c r="AH31" s="47" t="s">
        <v>32</v>
      </c>
      <c r="AI31" s="47" t="s">
        <v>32</v>
      </c>
      <c r="AJ31" s="47" t="s">
        <v>32</v>
      </c>
      <c r="AK31" s="47" t="s">
        <v>32</v>
      </c>
      <c r="AL31" s="47" t="s">
        <v>32</v>
      </c>
      <c r="AM31" s="47" t="s">
        <v>32</v>
      </c>
      <c r="AN31" s="47" t="s">
        <v>32</v>
      </c>
      <c r="AO31" s="47" t="s">
        <v>32</v>
      </c>
      <c r="AP31" s="47" t="s">
        <v>32</v>
      </c>
      <c r="AQ31" s="47" t="s">
        <v>32</v>
      </c>
      <c r="AR31" s="47" t="s">
        <v>32</v>
      </c>
      <c r="AS31" s="47" t="s">
        <v>32</v>
      </c>
      <c r="AT31" s="47" t="s">
        <v>32</v>
      </c>
      <c r="AU31" s="47" t="s">
        <v>32</v>
      </c>
      <c r="AV31" s="47" t="s">
        <v>32</v>
      </c>
      <c r="AW31" s="47" t="s">
        <v>32</v>
      </c>
      <c r="AX31" s="47" t="s">
        <v>32</v>
      </c>
      <c r="AY31" s="47" t="s">
        <v>32</v>
      </c>
      <c r="AZ31" s="47" t="s">
        <v>32</v>
      </c>
      <c r="BA31" s="47" t="s">
        <v>32</v>
      </c>
      <c r="BB31" s="47" t="s">
        <v>32</v>
      </c>
      <c r="BC31" s="47" t="s">
        <v>32</v>
      </c>
      <c r="BD31" s="47" t="s">
        <v>32</v>
      </c>
      <c r="BE31" s="47" t="s">
        <v>32</v>
      </c>
      <c r="BF31" s="47" t="s">
        <v>32</v>
      </c>
      <c r="BG31" s="47" t="s">
        <v>32</v>
      </c>
      <c r="BH31" s="47" t="s">
        <v>32</v>
      </c>
      <c r="BI31" s="47" t="s">
        <v>32</v>
      </c>
      <c r="BJ31" s="47" t="s">
        <v>32</v>
      </c>
      <c r="BK31" s="47" t="s">
        <v>32</v>
      </c>
      <c r="BL31" s="47" t="s">
        <v>32</v>
      </c>
      <c r="BM31" s="38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</row>
    <row r="32">
      <c r="A32" s="1"/>
      <c r="B32" s="31">
        <v>3.7</v>
      </c>
      <c r="C32" s="46" t="s">
        <v>63</v>
      </c>
      <c r="D32" s="46" t="s">
        <v>36</v>
      </c>
      <c r="E32" s="40">
        <v>46289.0</v>
      </c>
      <c r="F32" s="40">
        <v>46294.0</v>
      </c>
      <c r="G32" s="49">
        <f t="shared" si="2"/>
        <v>22</v>
      </c>
      <c r="H32" s="42">
        <v>1.0</v>
      </c>
      <c r="I32" s="44"/>
      <c r="J32" s="44"/>
      <c r="K32" s="44"/>
      <c r="L32" s="44"/>
      <c r="M32" s="44"/>
      <c r="N32" s="44"/>
      <c r="O32" s="44"/>
      <c r="P32" s="44"/>
      <c r="Q32" s="51" t="s">
        <v>28</v>
      </c>
      <c r="R32" s="51" t="s">
        <v>28</v>
      </c>
      <c r="S32" s="51" t="s">
        <v>28</v>
      </c>
      <c r="T32" s="51" t="s">
        <v>28</v>
      </c>
      <c r="U32" s="51" t="s">
        <v>28</v>
      </c>
      <c r="V32" s="51" t="s">
        <v>28</v>
      </c>
      <c r="W32" s="51" t="s">
        <v>28</v>
      </c>
      <c r="X32" s="51" t="s">
        <v>28</v>
      </c>
      <c r="Y32" s="51" t="s">
        <v>28</v>
      </c>
      <c r="Z32" s="51" t="s">
        <v>28</v>
      </c>
      <c r="AA32" s="51" t="s">
        <v>28</v>
      </c>
      <c r="AB32" s="47" t="s">
        <v>32</v>
      </c>
      <c r="AC32" s="47" t="s">
        <v>32</v>
      </c>
      <c r="AD32" s="47" t="s">
        <v>32</v>
      </c>
      <c r="AE32" s="47" t="s">
        <v>32</v>
      </c>
      <c r="AF32" s="47" t="s">
        <v>32</v>
      </c>
      <c r="AG32" s="47" t="s">
        <v>32</v>
      </c>
      <c r="AH32" s="47" t="s">
        <v>32</v>
      </c>
      <c r="AI32" s="47" t="s">
        <v>32</v>
      </c>
      <c r="AJ32" s="47" t="s">
        <v>32</v>
      </c>
      <c r="AK32" s="47" t="s">
        <v>32</v>
      </c>
      <c r="AL32" s="47" t="s">
        <v>32</v>
      </c>
      <c r="AM32" s="47" t="s">
        <v>32</v>
      </c>
      <c r="AN32" s="47" t="s">
        <v>32</v>
      </c>
      <c r="AO32" s="47" t="s">
        <v>32</v>
      </c>
      <c r="AP32" s="47" t="s">
        <v>32</v>
      </c>
      <c r="AQ32" s="47" t="s">
        <v>32</v>
      </c>
      <c r="AR32" s="47" t="s">
        <v>32</v>
      </c>
      <c r="AS32" s="47" t="s">
        <v>32</v>
      </c>
      <c r="AT32" s="44"/>
      <c r="AU32" s="44"/>
      <c r="AV32" s="44"/>
      <c r="AW32" s="47" t="s">
        <v>32</v>
      </c>
      <c r="AX32" s="47" t="s">
        <v>32</v>
      </c>
      <c r="AY32" s="47" t="s">
        <v>32</v>
      </c>
      <c r="AZ32" s="47" t="s">
        <v>32</v>
      </c>
      <c r="BA32" s="47" t="s">
        <v>32</v>
      </c>
      <c r="BB32" s="47" t="s">
        <v>32</v>
      </c>
      <c r="BC32" s="47" t="s">
        <v>32</v>
      </c>
      <c r="BD32" s="47" t="s">
        <v>32</v>
      </c>
      <c r="BE32" s="47" t="s">
        <v>32</v>
      </c>
      <c r="BF32" s="47" t="s">
        <v>32</v>
      </c>
      <c r="BG32" s="47" t="s">
        <v>32</v>
      </c>
      <c r="BH32" s="47" t="s">
        <v>32</v>
      </c>
      <c r="BI32" s="47" t="s">
        <v>32</v>
      </c>
      <c r="BJ32" s="47" t="s">
        <v>32</v>
      </c>
      <c r="BK32" s="47" t="s">
        <v>32</v>
      </c>
      <c r="BL32" s="47" t="s">
        <v>32</v>
      </c>
      <c r="BM32" s="38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</row>
    <row r="33">
      <c r="A33" s="1"/>
      <c r="B33" s="31">
        <v>4.0</v>
      </c>
      <c r="C33" s="32" t="s">
        <v>64</v>
      </c>
      <c r="D33" s="33"/>
      <c r="E33" s="33"/>
      <c r="F33" s="33"/>
      <c r="G33" s="33"/>
      <c r="H33" s="48" t="s">
        <v>65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38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</row>
    <row r="34">
      <c r="A34" s="1"/>
      <c r="B34" s="31">
        <v>4.1</v>
      </c>
      <c r="C34" s="39" t="s">
        <v>66</v>
      </c>
      <c r="D34" s="46" t="s">
        <v>67</v>
      </c>
      <c r="E34" s="40">
        <v>46289.0</v>
      </c>
      <c r="F34" s="40">
        <v>46294.0</v>
      </c>
      <c r="G34" s="49">
        <f t="shared" ref="G34:G37" si="3">COUNTIF(I34:BL34,"x")*2</f>
        <v>28</v>
      </c>
      <c r="H34" s="42">
        <v>1.0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7" t="s">
        <v>32</v>
      </c>
      <c r="T34" s="47" t="s">
        <v>32</v>
      </c>
      <c r="U34" s="47" t="s">
        <v>32</v>
      </c>
      <c r="V34" s="47" t="s">
        <v>32</v>
      </c>
      <c r="W34" s="47" t="s">
        <v>32</v>
      </c>
      <c r="X34" s="47" t="s">
        <v>32</v>
      </c>
      <c r="Y34" s="47" t="s">
        <v>32</v>
      </c>
      <c r="Z34" s="47" t="s">
        <v>32</v>
      </c>
      <c r="AA34" s="47" t="s">
        <v>32</v>
      </c>
      <c r="AB34" s="47" t="s">
        <v>32</v>
      </c>
      <c r="AC34" s="47" t="s">
        <v>32</v>
      </c>
      <c r="AD34" s="47" t="s">
        <v>32</v>
      </c>
      <c r="AE34" s="47" t="s">
        <v>32</v>
      </c>
      <c r="AF34" s="47" t="s">
        <v>32</v>
      </c>
      <c r="AG34" s="47" t="s">
        <v>32</v>
      </c>
      <c r="AH34" s="47" t="s">
        <v>32</v>
      </c>
      <c r="AI34" s="47" t="s">
        <v>32</v>
      </c>
      <c r="AJ34" s="47" t="s">
        <v>32</v>
      </c>
      <c r="AK34" s="52" t="s">
        <v>28</v>
      </c>
      <c r="AL34" s="52" t="s">
        <v>28</v>
      </c>
      <c r="AM34" s="52" t="s">
        <v>28</v>
      </c>
      <c r="AN34" s="52" t="s">
        <v>28</v>
      </c>
      <c r="AO34" s="52" t="s">
        <v>28</v>
      </c>
      <c r="AP34" s="52" t="s">
        <v>28</v>
      </c>
      <c r="AQ34" s="52" t="s">
        <v>28</v>
      </c>
      <c r="AR34" s="52" t="s">
        <v>28</v>
      </c>
      <c r="AS34" s="52" t="s">
        <v>28</v>
      </c>
      <c r="AT34" s="52" t="s">
        <v>28</v>
      </c>
      <c r="AU34" s="52" t="s">
        <v>28</v>
      </c>
      <c r="AV34" s="52" t="s">
        <v>28</v>
      </c>
      <c r="AW34" s="52" t="s">
        <v>28</v>
      </c>
      <c r="AX34" s="52" t="s">
        <v>28</v>
      </c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38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</row>
    <row r="35">
      <c r="A35" s="1"/>
      <c r="B35" s="31">
        <v>4.2</v>
      </c>
      <c r="C35" s="46" t="s">
        <v>68</v>
      </c>
      <c r="D35" s="46" t="s">
        <v>41</v>
      </c>
      <c r="E35" s="40">
        <v>46289.0</v>
      </c>
      <c r="F35" s="40">
        <v>46294.0</v>
      </c>
      <c r="G35" s="49">
        <f t="shared" si="3"/>
        <v>12</v>
      </c>
      <c r="H35" s="42">
        <v>1.0</v>
      </c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52" t="s">
        <v>28</v>
      </c>
      <c r="AL35" s="52" t="s">
        <v>28</v>
      </c>
      <c r="AM35" s="52" t="s">
        <v>28</v>
      </c>
      <c r="AN35" s="52" t="s">
        <v>28</v>
      </c>
      <c r="AO35" s="52" t="s">
        <v>28</v>
      </c>
      <c r="AP35" s="52" t="s">
        <v>28</v>
      </c>
      <c r="AQ35" s="44"/>
      <c r="AR35" s="44"/>
      <c r="AS35" s="44"/>
      <c r="AT35" s="44"/>
      <c r="AU35" s="44"/>
      <c r="AV35" s="44"/>
      <c r="AW35" s="47" t="s">
        <v>32</v>
      </c>
      <c r="AX35" s="47" t="s">
        <v>32</v>
      </c>
      <c r="AY35" s="47" t="s">
        <v>32</v>
      </c>
      <c r="AZ35" s="47" t="s">
        <v>32</v>
      </c>
      <c r="BA35" s="47" t="s">
        <v>32</v>
      </c>
      <c r="BB35" s="47" t="s">
        <v>32</v>
      </c>
      <c r="BC35" s="47" t="s">
        <v>32</v>
      </c>
      <c r="BD35" s="47" t="s">
        <v>32</v>
      </c>
      <c r="BE35" s="47" t="s">
        <v>32</v>
      </c>
      <c r="BF35" s="47" t="s">
        <v>32</v>
      </c>
      <c r="BG35" s="47" t="s">
        <v>32</v>
      </c>
      <c r="BH35" s="47" t="s">
        <v>32</v>
      </c>
      <c r="BI35" s="47" t="s">
        <v>32</v>
      </c>
      <c r="BJ35" s="47" t="s">
        <v>32</v>
      </c>
      <c r="BK35" s="47" t="s">
        <v>32</v>
      </c>
      <c r="BL35" s="47" t="s">
        <v>32</v>
      </c>
      <c r="BM35" s="38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</row>
    <row r="36">
      <c r="A36" s="1"/>
      <c r="B36" s="31">
        <v>4.3</v>
      </c>
      <c r="C36" s="39" t="s">
        <v>69</v>
      </c>
      <c r="D36" s="46" t="s">
        <v>41</v>
      </c>
      <c r="E36" s="40">
        <v>46289.0</v>
      </c>
      <c r="F36" s="40">
        <v>46294.0</v>
      </c>
      <c r="G36" s="49">
        <f t="shared" si="3"/>
        <v>22</v>
      </c>
      <c r="H36" s="42">
        <v>1.0</v>
      </c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52" t="s">
        <v>28</v>
      </c>
      <c r="AL36" s="52" t="s">
        <v>28</v>
      </c>
      <c r="AM36" s="52" t="s">
        <v>28</v>
      </c>
      <c r="AN36" s="52" t="s">
        <v>28</v>
      </c>
      <c r="AO36" s="52" t="s">
        <v>28</v>
      </c>
      <c r="AP36" s="52" t="s">
        <v>28</v>
      </c>
      <c r="AQ36" s="52" t="s">
        <v>28</v>
      </c>
      <c r="AR36" s="52" t="s">
        <v>28</v>
      </c>
      <c r="AS36" s="52" t="s">
        <v>28</v>
      </c>
      <c r="AT36" s="52" t="s">
        <v>28</v>
      </c>
      <c r="AU36" s="52" t="s">
        <v>28</v>
      </c>
      <c r="AV36" s="44"/>
      <c r="AW36" s="47" t="s">
        <v>32</v>
      </c>
      <c r="AX36" s="47" t="s">
        <v>32</v>
      </c>
      <c r="AY36" s="47" t="s">
        <v>32</v>
      </c>
      <c r="AZ36" s="47" t="s">
        <v>32</v>
      </c>
      <c r="BA36" s="47" t="s">
        <v>32</v>
      </c>
      <c r="BB36" s="47" t="s">
        <v>32</v>
      </c>
      <c r="BC36" s="47" t="s">
        <v>32</v>
      </c>
      <c r="BD36" s="47" t="s">
        <v>32</v>
      </c>
      <c r="BE36" s="47" t="s">
        <v>32</v>
      </c>
      <c r="BF36" s="47" t="s">
        <v>32</v>
      </c>
      <c r="BG36" s="47" t="s">
        <v>32</v>
      </c>
      <c r="BH36" s="47" t="s">
        <v>32</v>
      </c>
      <c r="BI36" s="47" t="s">
        <v>32</v>
      </c>
      <c r="BJ36" s="47" t="s">
        <v>32</v>
      </c>
      <c r="BK36" s="47" t="s">
        <v>32</v>
      </c>
      <c r="BL36" s="47" t="s">
        <v>32</v>
      </c>
      <c r="BM36" s="38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</row>
    <row r="37">
      <c r="A37" s="1"/>
      <c r="B37" s="53">
        <v>4.4</v>
      </c>
      <c r="C37" s="39" t="s">
        <v>70</v>
      </c>
      <c r="D37" s="46" t="s">
        <v>58</v>
      </c>
      <c r="E37" s="40">
        <v>46289.0</v>
      </c>
      <c r="F37" s="40">
        <v>46294.0</v>
      </c>
      <c r="G37" s="49">
        <f t="shared" si="3"/>
        <v>14</v>
      </c>
      <c r="H37" s="42">
        <v>1.0</v>
      </c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7" t="s">
        <v>32</v>
      </c>
      <c r="T37" s="47" t="s">
        <v>32</v>
      </c>
      <c r="U37" s="47" t="s">
        <v>32</v>
      </c>
      <c r="V37" s="47" t="s">
        <v>32</v>
      </c>
      <c r="W37" s="47" t="s">
        <v>32</v>
      </c>
      <c r="X37" s="47" t="s">
        <v>32</v>
      </c>
      <c r="Y37" s="47" t="s">
        <v>32</v>
      </c>
      <c r="Z37" s="47" t="s">
        <v>32</v>
      </c>
      <c r="AA37" s="47" t="s">
        <v>32</v>
      </c>
      <c r="AB37" s="47" t="s">
        <v>32</v>
      </c>
      <c r="AC37" s="47" t="s">
        <v>32</v>
      </c>
      <c r="AD37" s="47" t="s">
        <v>32</v>
      </c>
      <c r="AE37" s="47" t="s">
        <v>32</v>
      </c>
      <c r="AF37" s="47" t="s">
        <v>32</v>
      </c>
      <c r="AG37" s="47" t="s">
        <v>32</v>
      </c>
      <c r="AH37" s="47" t="s">
        <v>32</v>
      </c>
      <c r="AI37" s="47" t="s">
        <v>32</v>
      </c>
      <c r="AJ37" s="47" t="s">
        <v>32</v>
      </c>
      <c r="AK37" s="52" t="s">
        <v>28</v>
      </c>
      <c r="AL37" s="52" t="s">
        <v>28</v>
      </c>
      <c r="AM37" s="52" t="s">
        <v>28</v>
      </c>
      <c r="AN37" s="52" t="s">
        <v>28</v>
      </c>
      <c r="AO37" s="52" t="s">
        <v>28</v>
      </c>
      <c r="AP37" s="52" t="s">
        <v>28</v>
      </c>
      <c r="AQ37" s="52" t="s">
        <v>28</v>
      </c>
      <c r="AR37" s="44"/>
      <c r="AS37" s="44"/>
      <c r="AT37" s="47" t="s">
        <v>32</v>
      </c>
      <c r="AU37" s="47" t="s">
        <v>32</v>
      </c>
      <c r="AV37" s="47" t="s">
        <v>32</v>
      </c>
      <c r="AW37" s="47" t="s">
        <v>32</v>
      </c>
      <c r="AX37" s="47" t="s">
        <v>32</v>
      </c>
      <c r="AY37" s="47" t="s">
        <v>32</v>
      </c>
      <c r="AZ37" s="47" t="s">
        <v>32</v>
      </c>
      <c r="BA37" s="47" t="s">
        <v>32</v>
      </c>
      <c r="BB37" s="47" t="s">
        <v>32</v>
      </c>
      <c r="BC37" s="47" t="s">
        <v>32</v>
      </c>
      <c r="BD37" s="47" t="s">
        <v>32</v>
      </c>
      <c r="BE37" s="47" t="s">
        <v>32</v>
      </c>
      <c r="BF37" s="47" t="s">
        <v>32</v>
      </c>
      <c r="BG37" s="44"/>
      <c r="BH37" s="44"/>
      <c r="BI37" s="44"/>
      <c r="BJ37" s="44"/>
      <c r="BK37" s="44"/>
      <c r="BL37" s="44"/>
      <c r="BM37" s="38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</row>
    <row r="38">
      <c r="A38" s="1"/>
      <c r="B38" s="31">
        <v>5.0</v>
      </c>
      <c r="C38" s="32" t="s">
        <v>71</v>
      </c>
      <c r="D38" s="33"/>
      <c r="E38" s="33"/>
      <c r="F38" s="33"/>
      <c r="G38" s="33"/>
      <c r="H38" s="48" t="s">
        <v>72</v>
      </c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38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</row>
    <row r="39">
      <c r="A39" s="1"/>
      <c r="B39" s="31">
        <v>5.1</v>
      </c>
      <c r="C39" s="39" t="s">
        <v>73</v>
      </c>
      <c r="D39" s="46" t="s">
        <v>45</v>
      </c>
      <c r="E39" s="40">
        <v>46289.0</v>
      </c>
      <c r="F39" s="40">
        <v>46294.0</v>
      </c>
      <c r="G39" s="49">
        <f t="shared" ref="G39:G42" si="4">COUNTIF(I39:BL39,"x")*2</f>
        <v>4</v>
      </c>
      <c r="H39" s="42">
        <v>1.0</v>
      </c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7" t="s">
        <v>32</v>
      </c>
      <c r="AX39" s="47" t="s">
        <v>32</v>
      </c>
      <c r="AY39" s="47" t="s">
        <v>32</v>
      </c>
      <c r="AZ39" s="47" t="s">
        <v>32</v>
      </c>
      <c r="BA39" s="47" t="s">
        <v>32</v>
      </c>
      <c r="BB39" s="54" t="s">
        <v>28</v>
      </c>
      <c r="BC39" s="54" t="s">
        <v>28</v>
      </c>
      <c r="BD39" s="47" t="s">
        <v>32</v>
      </c>
      <c r="BE39" s="47" t="s">
        <v>32</v>
      </c>
      <c r="BF39" s="47" t="s">
        <v>32</v>
      </c>
      <c r="BG39" s="44"/>
      <c r="BH39" s="44"/>
      <c r="BI39" s="44"/>
      <c r="BJ39" s="44"/>
      <c r="BK39" s="44"/>
      <c r="BL39" s="44"/>
      <c r="BM39" s="38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</row>
    <row r="40">
      <c r="A40" s="1"/>
      <c r="B40" s="31">
        <v>5.2</v>
      </c>
      <c r="C40" s="39" t="s">
        <v>74</v>
      </c>
      <c r="D40" s="46" t="s">
        <v>67</v>
      </c>
      <c r="E40" s="40">
        <v>46289.0</v>
      </c>
      <c r="F40" s="40">
        <v>46294.0</v>
      </c>
      <c r="G40" s="49">
        <f t="shared" si="4"/>
        <v>6</v>
      </c>
      <c r="H40" s="42">
        <v>1.0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7" t="s">
        <v>32</v>
      </c>
      <c r="AX40" s="47" t="s">
        <v>32</v>
      </c>
      <c r="AY40" s="47" t="s">
        <v>32</v>
      </c>
      <c r="AZ40" s="47" t="s">
        <v>32</v>
      </c>
      <c r="BA40" s="47" t="s">
        <v>32</v>
      </c>
      <c r="BB40" s="47" t="s">
        <v>32</v>
      </c>
      <c r="BC40" s="54" t="s">
        <v>28</v>
      </c>
      <c r="BD40" s="54" t="s">
        <v>28</v>
      </c>
      <c r="BE40" s="54" t="s">
        <v>28</v>
      </c>
      <c r="BF40" s="47" t="s">
        <v>32</v>
      </c>
      <c r="BG40" s="44"/>
      <c r="BH40" s="44"/>
      <c r="BI40" s="44"/>
      <c r="BJ40" s="44"/>
      <c r="BK40" s="44"/>
      <c r="BL40" s="44"/>
      <c r="BM40" s="38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</row>
    <row r="41">
      <c r="A41" s="1"/>
      <c r="B41" s="31">
        <v>5.3</v>
      </c>
      <c r="C41" s="39" t="s">
        <v>75</v>
      </c>
      <c r="D41" s="46" t="s">
        <v>49</v>
      </c>
      <c r="E41" s="40">
        <v>46289.0</v>
      </c>
      <c r="F41" s="40">
        <v>46294.0</v>
      </c>
      <c r="G41" s="49">
        <f t="shared" si="4"/>
        <v>2</v>
      </c>
      <c r="H41" s="42">
        <v>1.0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54" t="s">
        <v>28</v>
      </c>
      <c r="BF41" s="44"/>
      <c r="BG41" s="47" t="s">
        <v>32</v>
      </c>
      <c r="BH41" s="47" t="s">
        <v>32</v>
      </c>
      <c r="BI41" s="47" t="s">
        <v>32</v>
      </c>
      <c r="BJ41" s="47" t="s">
        <v>32</v>
      </c>
      <c r="BK41" s="47" t="s">
        <v>32</v>
      </c>
      <c r="BL41" s="47" t="s">
        <v>32</v>
      </c>
      <c r="BM41" s="38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</row>
    <row r="42">
      <c r="A42" s="1"/>
      <c r="B42" s="31">
        <v>5.4</v>
      </c>
      <c r="C42" s="39" t="s">
        <v>76</v>
      </c>
      <c r="D42" s="46" t="s">
        <v>34</v>
      </c>
      <c r="E42" s="40">
        <v>46289.0</v>
      </c>
      <c r="F42" s="40">
        <v>46294.0</v>
      </c>
      <c r="G42" s="49">
        <f t="shared" si="4"/>
        <v>4</v>
      </c>
      <c r="H42" s="42">
        <v>1.0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54" t="s">
        <v>28</v>
      </c>
      <c r="BG42" s="54" t="s">
        <v>28</v>
      </c>
      <c r="BH42" s="47" t="s">
        <v>32</v>
      </c>
      <c r="BI42" s="47" t="s">
        <v>32</v>
      </c>
      <c r="BJ42" s="47" t="s">
        <v>32</v>
      </c>
      <c r="BK42" s="47" t="s">
        <v>32</v>
      </c>
      <c r="BL42" s="47" t="s">
        <v>32</v>
      </c>
      <c r="BM42" s="38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</row>
    <row r="43">
      <c r="A43" s="1"/>
      <c r="B43" s="31">
        <v>6.0</v>
      </c>
      <c r="C43" s="32" t="s">
        <v>77</v>
      </c>
      <c r="D43" s="33"/>
      <c r="E43" s="33"/>
      <c r="F43" s="33"/>
      <c r="G43" s="33"/>
      <c r="H43" s="48" t="s">
        <v>78</v>
      </c>
      <c r="I43" s="47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38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</row>
    <row r="44">
      <c r="A44" s="1"/>
      <c r="B44" s="31">
        <v>6.1</v>
      </c>
      <c r="C44" s="39" t="s">
        <v>79</v>
      </c>
      <c r="D44" s="46" t="s">
        <v>58</v>
      </c>
      <c r="E44" s="40">
        <v>46289.0</v>
      </c>
      <c r="F44" s="40">
        <v>46294.0</v>
      </c>
      <c r="G44" s="49">
        <f t="shared" ref="G44:G47" si="5">COUNTIF(I44:BL44,"x")*2</f>
        <v>20</v>
      </c>
      <c r="H44" s="42">
        <v>1.0</v>
      </c>
      <c r="I44" s="55"/>
      <c r="J44" s="44"/>
      <c r="K44" s="44"/>
      <c r="L44" s="44"/>
      <c r="M44" s="44"/>
      <c r="N44" s="44"/>
      <c r="O44" s="44"/>
      <c r="P44" s="43" t="s">
        <v>28</v>
      </c>
      <c r="Q44" s="43" t="s">
        <v>28</v>
      </c>
      <c r="R44" s="43" t="s">
        <v>28</v>
      </c>
      <c r="S44" s="43" t="s">
        <v>28</v>
      </c>
      <c r="T44" s="43" t="s">
        <v>28</v>
      </c>
      <c r="U44" s="43" t="s">
        <v>28</v>
      </c>
      <c r="V44" s="43" t="s">
        <v>28</v>
      </c>
      <c r="W44" s="43" t="s">
        <v>28</v>
      </c>
      <c r="X44" s="43" t="s">
        <v>28</v>
      </c>
      <c r="Y44" s="43" t="s">
        <v>28</v>
      </c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7" t="s">
        <v>32</v>
      </c>
      <c r="BH44" s="47" t="s">
        <v>32</v>
      </c>
      <c r="BI44" s="47" t="s">
        <v>32</v>
      </c>
      <c r="BJ44" s="47" t="s">
        <v>32</v>
      </c>
      <c r="BK44" s="47" t="s">
        <v>32</v>
      </c>
      <c r="BL44" s="47" t="s">
        <v>32</v>
      </c>
      <c r="BM44" s="38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</row>
    <row r="45">
      <c r="A45" s="1"/>
      <c r="B45" s="31">
        <v>6.2</v>
      </c>
      <c r="C45" s="39" t="s">
        <v>80</v>
      </c>
      <c r="D45" s="46" t="s">
        <v>43</v>
      </c>
      <c r="E45" s="40">
        <v>46289.0</v>
      </c>
      <c r="F45" s="40">
        <v>46294.0</v>
      </c>
      <c r="G45" s="49">
        <f t="shared" si="5"/>
        <v>22</v>
      </c>
      <c r="H45" s="42">
        <v>1.0</v>
      </c>
      <c r="I45" s="55"/>
      <c r="J45" s="44"/>
      <c r="K45" s="44"/>
      <c r="L45" s="44"/>
      <c r="M45" s="44"/>
      <c r="N45" s="44"/>
      <c r="O45" s="44"/>
      <c r="P45" s="43" t="s">
        <v>28</v>
      </c>
      <c r="Q45" s="43" t="s">
        <v>28</v>
      </c>
      <c r="R45" s="43" t="s">
        <v>28</v>
      </c>
      <c r="S45" s="43" t="s">
        <v>28</v>
      </c>
      <c r="T45" s="43" t="s">
        <v>28</v>
      </c>
      <c r="U45" s="43" t="s">
        <v>28</v>
      </c>
      <c r="V45" s="43" t="s">
        <v>28</v>
      </c>
      <c r="W45" s="43" t="s">
        <v>28</v>
      </c>
      <c r="X45" s="43" t="s">
        <v>28</v>
      </c>
      <c r="Y45" s="43" t="s">
        <v>28</v>
      </c>
      <c r="Z45" s="43" t="s">
        <v>28</v>
      </c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7" t="s">
        <v>32</v>
      </c>
      <c r="AN45" s="47" t="s">
        <v>32</v>
      </c>
      <c r="AO45" s="47" t="s">
        <v>32</v>
      </c>
      <c r="AP45" s="47" t="s">
        <v>32</v>
      </c>
      <c r="AQ45" s="47" t="s">
        <v>32</v>
      </c>
      <c r="AR45" s="47" t="s">
        <v>32</v>
      </c>
      <c r="AS45" s="47" t="s">
        <v>32</v>
      </c>
      <c r="AT45" s="47" t="s">
        <v>32</v>
      </c>
      <c r="AU45" s="47" t="s">
        <v>32</v>
      </c>
      <c r="AV45" s="47" t="s">
        <v>32</v>
      </c>
      <c r="AW45" s="47" t="s">
        <v>32</v>
      </c>
      <c r="AX45" s="47" t="s">
        <v>32</v>
      </c>
      <c r="AY45" s="47" t="s">
        <v>32</v>
      </c>
      <c r="AZ45" s="47" t="s">
        <v>32</v>
      </c>
      <c r="BA45" s="47" t="s">
        <v>32</v>
      </c>
      <c r="BB45" s="47" t="s">
        <v>32</v>
      </c>
      <c r="BC45" s="47" t="s">
        <v>32</v>
      </c>
      <c r="BD45" s="47" t="s">
        <v>32</v>
      </c>
      <c r="BE45" s="47" t="s">
        <v>32</v>
      </c>
      <c r="BF45" s="47" t="s">
        <v>32</v>
      </c>
      <c r="BG45" s="44"/>
      <c r="BH45" s="44"/>
      <c r="BI45" s="44"/>
      <c r="BJ45" s="44"/>
      <c r="BK45" s="44"/>
      <c r="BL45" s="44"/>
      <c r="BM45" s="38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</row>
    <row r="46">
      <c r="A46" s="1"/>
      <c r="B46" s="31">
        <v>6.3</v>
      </c>
      <c r="C46" s="39" t="s">
        <v>81</v>
      </c>
      <c r="D46" s="46" t="s">
        <v>45</v>
      </c>
      <c r="E46" s="40">
        <v>46289.0</v>
      </c>
      <c r="F46" s="40">
        <v>46294.0</v>
      </c>
      <c r="G46" s="49">
        <f t="shared" si="5"/>
        <v>16</v>
      </c>
      <c r="H46" s="42">
        <v>1.0</v>
      </c>
      <c r="I46" s="55"/>
      <c r="J46" s="44"/>
      <c r="K46" s="44"/>
      <c r="L46" s="44"/>
      <c r="M46" s="44"/>
      <c r="N46" s="44"/>
      <c r="O46" s="44"/>
      <c r="P46" s="43" t="s">
        <v>28</v>
      </c>
      <c r="Q46" s="43" t="s">
        <v>28</v>
      </c>
      <c r="R46" s="43" t="s">
        <v>28</v>
      </c>
      <c r="S46" s="43" t="s">
        <v>28</v>
      </c>
      <c r="T46" s="43" t="s">
        <v>28</v>
      </c>
      <c r="U46" s="43" t="s">
        <v>28</v>
      </c>
      <c r="V46" s="43" t="s">
        <v>28</v>
      </c>
      <c r="W46" s="43" t="s">
        <v>28</v>
      </c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7" t="s">
        <v>32</v>
      </c>
      <c r="AN46" s="47" t="s">
        <v>32</v>
      </c>
      <c r="AO46" s="47" t="s">
        <v>32</v>
      </c>
      <c r="AP46" s="47" t="s">
        <v>32</v>
      </c>
      <c r="AQ46" s="47" t="s">
        <v>32</v>
      </c>
      <c r="AR46" s="47" t="s">
        <v>32</v>
      </c>
      <c r="AS46" s="47" t="s">
        <v>32</v>
      </c>
      <c r="AT46" s="47" t="s">
        <v>32</v>
      </c>
      <c r="AU46" s="47" t="s">
        <v>32</v>
      </c>
      <c r="AV46" s="47" t="s">
        <v>32</v>
      </c>
      <c r="AW46" s="47" t="s">
        <v>32</v>
      </c>
      <c r="AX46" s="47" t="s">
        <v>32</v>
      </c>
      <c r="AY46" s="47" t="s">
        <v>32</v>
      </c>
      <c r="AZ46" s="47" t="s">
        <v>32</v>
      </c>
      <c r="BA46" s="47" t="s">
        <v>32</v>
      </c>
      <c r="BB46" s="47" t="s">
        <v>32</v>
      </c>
      <c r="BC46" s="47" t="s">
        <v>32</v>
      </c>
      <c r="BD46" s="47" t="s">
        <v>32</v>
      </c>
      <c r="BE46" s="47" t="s">
        <v>32</v>
      </c>
      <c r="BF46" s="47" t="s">
        <v>32</v>
      </c>
      <c r="BG46" s="44"/>
      <c r="BH46" s="44"/>
      <c r="BI46" s="44"/>
      <c r="BJ46" s="44"/>
      <c r="BK46" s="44"/>
      <c r="BL46" s="44"/>
      <c r="BM46" s="38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</row>
    <row r="47">
      <c r="A47" s="1"/>
      <c r="B47" s="31">
        <v>6.5</v>
      </c>
      <c r="C47" s="39" t="s">
        <v>82</v>
      </c>
      <c r="D47" s="46" t="s">
        <v>41</v>
      </c>
      <c r="E47" s="40">
        <v>46289.0</v>
      </c>
      <c r="F47" s="40">
        <v>46294.0</v>
      </c>
      <c r="G47" s="49">
        <f t="shared" si="5"/>
        <v>18</v>
      </c>
      <c r="H47" s="42">
        <v>1.0</v>
      </c>
      <c r="I47" s="55"/>
      <c r="J47" s="44"/>
      <c r="K47" s="44"/>
      <c r="L47" s="44"/>
      <c r="M47" s="44"/>
      <c r="N47" s="44"/>
      <c r="O47" s="44"/>
      <c r="P47" s="43" t="s">
        <v>28</v>
      </c>
      <c r="Q47" s="43" t="s">
        <v>28</v>
      </c>
      <c r="R47" s="43" t="s">
        <v>28</v>
      </c>
      <c r="S47" s="43" t="s">
        <v>28</v>
      </c>
      <c r="T47" s="43" t="s">
        <v>28</v>
      </c>
      <c r="U47" s="43" t="s">
        <v>28</v>
      </c>
      <c r="V47" s="43" t="s">
        <v>28</v>
      </c>
      <c r="W47" s="43" t="s">
        <v>28</v>
      </c>
      <c r="X47" s="43" t="s">
        <v>28</v>
      </c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7" t="s">
        <v>32</v>
      </c>
      <c r="AN47" s="47" t="s">
        <v>32</v>
      </c>
      <c r="AO47" s="47" t="s">
        <v>32</v>
      </c>
      <c r="AP47" s="47" t="s">
        <v>32</v>
      </c>
      <c r="AQ47" s="47" t="s">
        <v>32</v>
      </c>
      <c r="AR47" s="47" t="s">
        <v>32</v>
      </c>
      <c r="AS47" s="47" t="s">
        <v>32</v>
      </c>
      <c r="AT47" s="47" t="s">
        <v>32</v>
      </c>
      <c r="AU47" s="47" t="s">
        <v>32</v>
      </c>
      <c r="AV47" s="47" t="s">
        <v>32</v>
      </c>
      <c r="AW47" s="47" t="s">
        <v>32</v>
      </c>
      <c r="AX47" s="47" t="s">
        <v>32</v>
      </c>
      <c r="AY47" s="47" t="s">
        <v>32</v>
      </c>
      <c r="AZ47" s="47" t="s">
        <v>32</v>
      </c>
      <c r="BA47" s="47" t="s">
        <v>32</v>
      </c>
      <c r="BB47" s="47" t="s">
        <v>32</v>
      </c>
      <c r="BC47" s="47" t="s">
        <v>32</v>
      </c>
      <c r="BD47" s="47" t="s">
        <v>32</v>
      </c>
      <c r="BE47" s="47" t="s">
        <v>32</v>
      </c>
      <c r="BF47" s="47" t="s">
        <v>32</v>
      </c>
      <c r="BG47" s="47" t="s">
        <v>32</v>
      </c>
      <c r="BH47" s="47" t="s">
        <v>32</v>
      </c>
      <c r="BI47" s="47" t="s">
        <v>32</v>
      </c>
      <c r="BJ47" s="47" t="s">
        <v>32</v>
      </c>
      <c r="BK47" s="47" t="s">
        <v>32</v>
      </c>
      <c r="BL47" s="47" t="s">
        <v>32</v>
      </c>
      <c r="BM47" s="38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</row>
    <row r="48">
      <c r="A48" s="1"/>
      <c r="B48" s="31">
        <v>7.0</v>
      </c>
      <c r="C48" s="32" t="s">
        <v>83</v>
      </c>
      <c r="D48" s="33"/>
      <c r="E48" s="33"/>
      <c r="F48" s="33"/>
      <c r="G48" s="33"/>
      <c r="H48" s="48" t="s">
        <v>72</v>
      </c>
      <c r="I48" s="55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38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</row>
    <row r="49">
      <c r="A49" s="1"/>
      <c r="B49" s="31">
        <v>7.1</v>
      </c>
      <c r="C49" s="39" t="s">
        <v>84</v>
      </c>
      <c r="D49" s="46" t="s">
        <v>58</v>
      </c>
      <c r="E49" s="40">
        <v>46289.0</v>
      </c>
      <c r="F49" s="40">
        <v>46294.0</v>
      </c>
      <c r="G49" s="49">
        <f t="shared" ref="G49:G53" si="6">COUNTIF(I49:BL49,"x")*2</f>
        <v>16</v>
      </c>
      <c r="H49" s="42">
        <v>1.0</v>
      </c>
      <c r="I49" s="55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7" t="s">
        <v>32</v>
      </c>
      <c r="AX49" s="47" t="s">
        <v>32</v>
      </c>
      <c r="AY49" s="47" t="s">
        <v>32</v>
      </c>
      <c r="AZ49" s="47" t="s">
        <v>32</v>
      </c>
      <c r="BA49" s="56" t="s">
        <v>28</v>
      </c>
      <c r="BB49" s="56" t="s">
        <v>28</v>
      </c>
      <c r="BC49" s="56" t="s">
        <v>28</v>
      </c>
      <c r="BD49" s="56" t="s">
        <v>28</v>
      </c>
      <c r="BE49" s="56" t="s">
        <v>28</v>
      </c>
      <c r="BF49" s="56" t="s">
        <v>28</v>
      </c>
      <c r="BG49" s="56" t="s">
        <v>28</v>
      </c>
      <c r="BH49" s="56" t="s">
        <v>28</v>
      </c>
      <c r="BI49" s="44"/>
      <c r="BJ49" s="44"/>
      <c r="BK49" s="44"/>
      <c r="BL49" s="44"/>
      <c r="BM49" s="38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</row>
    <row r="50">
      <c r="A50" s="1"/>
      <c r="B50" s="31">
        <v>7.2</v>
      </c>
      <c r="C50" s="39" t="s">
        <v>85</v>
      </c>
      <c r="D50" s="46" t="s">
        <v>45</v>
      </c>
      <c r="E50" s="40">
        <v>46289.0</v>
      </c>
      <c r="F50" s="40">
        <v>46294.0</v>
      </c>
      <c r="G50" s="49">
        <f t="shared" si="6"/>
        <v>14</v>
      </c>
      <c r="H50" s="42">
        <v>1.0</v>
      </c>
      <c r="I50" s="55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56" t="s">
        <v>28</v>
      </c>
      <c r="BG50" s="56" t="s">
        <v>28</v>
      </c>
      <c r="BH50" s="56" t="s">
        <v>28</v>
      </c>
      <c r="BI50" s="56" t="s">
        <v>28</v>
      </c>
      <c r="BJ50" s="56" t="s">
        <v>28</v>
      </c>
      <c r="BK50" s="56" t="s">
        <v>28</v>
      </c>
      <c r="BL50" s="56" t="s">
        <v>28</v>
      </c>
      <c r="BM50" s="38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</row>
    <row r="51">
      <c r="A51" s="1"/>
      <c r="B51" s="31">
        <v>7.3</v>
      </c>
      <c r="C51" s="39" t="s">
        <v>86</v>
      </c>
      <c r="D51" s="46" t="s">
        <v>87</v>
      </c>
      <c r="E51" s="40">
        <v>46289.0</v>
      </c>
      <c r="F51" s="40">
        <v>46294.0</v>
      </c>
      <c r="G51" s="49">
        <f t="shared" si="6"/>
        <v>14</v>
      </c>
      <c r="H51" s="42">
        <v>1.0</v>
      </c>
      <c r="I51" s="55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56" t="s">
        <v>28</v>
      </c>
      <c r="BG51" s="56" t="s">
        <v>28</v>
      </c>
      <c r="BH51" s="56" t="s">
        <v>28</v>
      </c>
      <c r="BI51" s="56" t="s">
        <v>28</v>
      </c>
      <c r="BJ51" s="56" t="s">
        <v>28</v>
      </c>
      <c r="BK51" s="56" t="s">
        <v>28</v>
      </c>
      <c r="BL51" s="56" t="s">
        <v>28</v>
      </c>
      <c r="BM51" s="38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</row>
    <row r="52">
      <c r="A52" s="1"/>
      <c r="B52" s="31">
        <v>7.4</v>
      </c>
      <c r="C52" s="39" t="s">
        <v>88</v>
      </c>
      <c r="D52" s="46" t="s">
        <v>27</v>
      </c>
      <c r="E52" s="40">
        <v>46289.0</v>
      </c>
      <c r="F52" s="40">
        <v>46294.0</v>
      </c>
      <c r="G52" s="49">
        <f t="shared" si="6"/>
        <v>14</v>
      </c>
      <c r="H52" s="42">
        <v>1.0</v>
      </c>
      <c r="I52" s="55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56" t="s">
        <v>28</v>
      </c>
      <c r="BG52" s="56" t="s">
        <v>28</v>
      </c>
      <c r="BH52" s="56" t="s">
        <v>28</v>
      </c>
      <c r="BI52" s="56" t="s">
        <v>28</v>
      </c>
      <c r="BJ52" s="56" t="s">
        <v>28</v>
      </c>
      <c r="BK52" s="56" t="s">
        <v>28</v>
      </c>
      <c r="BL52" s="56" t="s">
        <v>28</v>
      </c>
      <c r="BM52" s="38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</row>
    <row r="53">
      <c r="A53" s="1"/>
      <c r="B53" s="31">
        <v>7.5</v>
      </c>
      <c r="C53" s="39" t="s">
        <v>89</v>
      </c>
      <c r="D53" s="46" t="s">
        <v>87</v>
      </c>
      <c r="E53" s="40">
        <v>46289.0</v>
      </c>
      <c r="F53" s="40">
        <v>46294.0</v>
      </c>
      <c r="G53" s="49">
        <f t="shared" si="6"/>
        <v>8</v>
      </c>
      <c r="H53" s="57">
        <v>1.0</v>
      </c>
      <c r="I53" s="58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60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7" t="s">
        <v>32</v>
      </c>
      <c r="BH53" s="47" t="s">
        <v>32</v>
      </c>
      <c r="BI53" s="56" t="s">
        <v>28</v>
      </c>
      <c r="BJ53" s="56" t="s">
        <v>28</v>
      </c>
      <c r="BK53" s="56" t="s">
        <v>28</v>
      </c>
      <c r="BL53" s="56" t="s">
        <v>28</v>
      </c>
      <c r="BM53" s="38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</row>
    <row r="54">
      <c r="A54" s="1"/>
      <c r="B54" s="1"/>
      <c r="C54" s="1"/>
      <c r="D54" s="1"/>
      <c r="E54" s="1"/>
      <c r="F54" s="1"/>
      <c r="G54" s="1"/>
      <c r="H54" s="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2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</row>
    <row r="55">
      <c r="A55" s="1"/>
      <c r="B55" s="1"/>
      <c r="C55" s="1"/>
      <c r="D55" s="1"/>
      <c r="E55" s="1"/>
      <c r="F55" s="1"/>
      <c r="G55" s="1"/>
      <c r="H55" s="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38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</row>
    <row r="56">
      <c r="A56" s="1"/>
      <c r="B56" s="1"/>
      <c r="C56" s="1"/>
      <c r="D56" s="1"/>
      <c r="E56" s="1"/>
      <c r="F56" s="1"/>
      <c r="G56" s="1"/>
      <c r="H56" s="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38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</row>
    <row r="57">
      <c r="A57" s="1"/>
      <c r="B57" s="1"/>
      <c r="C57" s="1"/>
      <c r="D57" s="1"/>
      <c r="E57" s="1"/>
      <c r="F57" s="1"/>
      <c r="G57" s="1"/>
      <c r="H57" s="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38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</row>
    <row r="58">
      <c r="A58" s="1"/>
      <c r="B58" s="1"/>
      <c r="C58" s="1"/>
      <c r="D58" s="1"/>
      <c r="E58" s="1"/>
      <c r="F58" s="1"/>
      <c r="G58" s="1"/>
      <c r="H58" s="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38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64"/>
      <c r="AN59" s="65"/>
      <c r="AO59" s="61"/>
      <c r="AP59" s="61"/>
      <c r="AQ59" s="66"/>
      <c r="AR59" s="67"/>
      <c r="AS59" s="67"/>
      <c r="AT59" s="67"/>
      <c r="AU59" s="6"/>
      <c r="AV59" s="6"/>
      <c r="AW59" s="6"/>
      <c r="AX59" s="6"/>
      <c r="AY59" s="6"/>
      <c r="AZ59" s="6"/>
      <c r="BA59" s="68"/>
      <c r="BB59" s="68"/>
      <c r="BC59" s="68"/>
      <c r="BD59" s="68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69"/>
      <c r="AN60" s="70"/>
      <c r="AO60" s="71"/>
      <c r="AP60" s="71"/>
      <c r="AQ60" s="72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64"/>
      <c r="AN61" s="65"/>
      <c r="AO61" s="61"/>
      <c r="AP61" s="61"/>
      <c r="AQ61" s="66"/>
      <c r="AR61" s="67"/>
      <c r="AS61" s="67"/>
      <c r="AT61" s="67"/>
      <c r="AU61" s="6"/>
      <c r="AV61" s="6"/>
      <c r="AW61" s="6"/>
      <c r="AX61" s="6"/>
      <c r="AY61" s="6"/>
      <c r="AZ61" s="6"/>
      <c r="BA61" s="68"/>
      <c r="BB61" s="68"/>
      <c r="BC61" s="68"/>
      <c r="BD61" s="68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64"/>
      <c r="AN62" s="65"/>
      <c r="AO62" s="61"/>
      <c r="AP62" s="61"/>
      <c r="AQ62" s="66"/>
      <c r="AR62" s="67"/>
      <c r="AS62" s="67"/>
      <c r="AT62" s="67"/>
      <c r="AU62" s="6"/>
      <c r="AV62" s="6"/>
      <c r="AW62" s="6"/>
      <c r="AX62" s="6"/>
      <c r="AY62" s="6"/>
      <c r="AZ62" s="6"/>
      <c r="BA62" s="68"/>
      <c r="BB62" s="68"/>
      <c r="BC62" s="68"/>
      <c r="BD62" s="68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64"/>
      <c r="AN63" s="65"/>
      <c r="AO63" s="61"/>
      <c r="AP63" s="61"/>
      <c r="AQ63" s="66"/>
      <c r="AR63" s="67"/>
      <c r="AS63" s="67"/>
      <c r="AT63" s="67"/>
      <c r="AU63" s="6"/>
      <c r="AV63" s="6"/>
      <c r="AW63" s="6"/>
      <c r="AX63" s="6"/>
      <c r="AY63" s="6"/>
      <c r="AZ63" s="6"/>
      <c r="BA63" s="68"/>
      <c r="BB63" s="68"/>
      <c r="BC63" s="68"/>
      <c r="BD63" s="68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64"/>
      <c r="AN64" s="65"/>
      <c r="AO64" s="61"/>
      <c r="AP64" s="61"/>
      <c r="AQ64" s="66"/>
      <c r="AR64" s="67"/>
      <c r="AS64" s="67"/>
      <c r="AT64" s="67"/>
      <c r="AU64" s="6"/>
      <c r="AV64" s="6"/>
      <c r="AW64" s="6"/>
      <c r="AX64" s="6"/>
      <c r="AY64" s="6"/>
      <c r="AZ64" s="6"/>
      <c r="BA64" s="68"/>
      <c r="BB64" s="68"/>
      <c r="BC64" s="68"/>
      <c r="BD64" s="68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69"/>
      <c r="AN65" s="70"/>
      <c r="AO65" s="71"/>
      <c r="AP65" s="71"/>
      <c r="AQ65" s="72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64"/>
      <c r="AN66" s="65"/>
      <c r="AO66" s="61"/>
      <c r="AP66" s="61"/>
      <c r="AQ66" s="66"/>
      <c r="AR66" s="67"/>
      <c r="AS66" s="67"/>
      <c r="AT66" s="67"/>
      <c r="AU66" s="6"/>
      <c r="AV66" s="6"/>
      <c r="AW66" s="6"/>
      <c r="AX66" s="6"/>
      <c r="AY66" s="6"/>
      <c r="AZ66" s="6"/>
      <c r="BA66" s="68"/>
      <c r="BB66" s="68"/>
      <c r="BC66" s="68"/>
      <c r="BD66" s="68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64"/>
      <c r="AN67" s="65"/>
      <c r="AO67" s="61"/>
      <c r="AP67" s="61"/>
      <c r="AQ67" s="66"/>
      <c r="AR67" s="67"/>
      <c r="AS67" s="67"/>
      <c r="AT67" s="67"/>
      <c r="AU67" s="6"/>
      <c r="AV67" s="6"/>
      <c r="AW67" s="6"/>
      <c r="AX67" s="6"/>
      <c r="AY67" s="6"/>
      <c r="AZ67" s="6"/>
      <c r="BA67" s="68"/>
      <c r="BB67" s="68"/>
      <c r="BC67" s="68"/>
      <c r="BD67" s="68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64"/>
      <c r="AN68" s="65"/>
      <c r="AO68" s="61"/>
      <c r="AP68" s="61"/>
      <c r="AQ68" s="66"/>
      <c r="AR68" s="67"/>
      <c r="AS68" s="67"/>
      <c r="AT68" s="67"/>
      <c r="AU68" s="6"/>
      <c r="AV68" s="6"/>
      <c r="AW68" s="6"/>
      <c r="AX68" s="6"/>
      <c r="AY68" s="6"/>
      <c r="AZ68" s="6"/>
      <c r="BA68" s="68"/>
      <c r="BB68" s="68"/>
      <c r="BC68" s="68"/>
      <c r="BD68" s="68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64"/>
      <c r="AN69" s="65"/>
      <c r="AO69" s="61"/>
      <c r="AP69" s="61"/>
      <c r="AQ69" s="66"/>
      <c r="AR69" s="67"/>
      <c r="AS69" s="67"/>
      <c r="AT69" s="67"/>
      <c r="AU69" s="6"/>
      <c r="AV69" s="6"/>
      <c r="AW69" s="6"/>
      <c r="AX69" s="6"/>
      <c r="AY69" s="6"/>
      <c r="AZ69" s="6"/>
      <c r="BA69" s="68"/>
      <c r="BB69" s="68"/>
      <c r="BC69" s="68"/>
      <c r="BD69" s="68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69"/>
      <c r="AN70" s="70"/>
      <c r="AO70" s="71"/>
      <c r="AP70" s="71"/>
      <c r="AQ70" s="72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64"/>
      <c r="AN71" s="65"/>
      <c r="AO71" s="61"/>
      <c r="AP71" s="61"/>
      <c r="AQ71" s="66"/>
      <c r="AR71" s="67"/>
      <c r="AS71" s="67"/>
      <c r="AT71" s="67"/>
      <c r="AU71" s="6"/>
      <c r="AV71" s="6"/>
      <c r="AW71" s="6"/>
      <c r="AX71" s="6"/>
      <c r="AY71" s="6"/>
      <c r="AZ71" s="6"/>
      <c r="BA71" s="68"/>
      <c r="BB71" s="68"/>
      <c r="BC71" s="68"/>
      <c r="BD71" s="68"/>
      <c r="BE71" s="6"/>
      <c r="BF71" s="6"/>
      <c r="BG71" s="6"/>
      <c r="BH71" s="6"/>
      <c r="BI71" s="6"/>
      <c r="BJ71" s="6"/>
      <c r="BK71" s="74"/>
      <c r="BL71" s="74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64"/>
      <c r="AN72" s="65"/>
      <c r="AO72" s="61"/>
      <c r="AP72" s="61"/>
      <c r="AQ72" s="66"/>
      <c r="AR72" s="67"/>
      <c r="AS72" s="67"/>
      <c r="AT72" s="67"/>
      <c r="AU72" s="6"/>
      <c r="AV72" s="6"/>
      <c r="AW72" s="6"/>
      <c r="AX72" s="6"/>
      <c r="AY72" s="6"/>
      <c r="AZ72" s="6"/>
      <c r="BA72" s="68"/>
      <c r="BB72" s="68"/>
      <c r="BC72" s="68"/>
      <c r="BD72" s="68"/>
      <c r="BE72" s="6"/>
      <c r="BF72" s="6"/>
      <c r="BG72" s="6"/>
      <c r="BH72" s="6"/>
      <c r="BI72" s="6"/>
      <c r="BJ72" s="6"/>
      <c r="BK72" s="74"/>
      <c r="BL72" s="74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64"/>
      <c r="AN73" s="65"/>
      <c r="AO73" s="61"/>
      <c r="AP73" s="61"/>
      <c r="AQ73" s="66"/>
      <c r="AR73" s="67"/>
      <c r="AS73" s="67"/>
      <c r="AT73" s="67"/>
      <c r="AU73" s="6"/>
      <c r="AV73" s="6"/>
      <c r="AW73" s="6"/>
      <c r="AX73" s="6"/>
      <c r="AY73" s="6"/>
      <c r="AZ73" s="6"/>
      <c r="BA73" s="68"/>
      <c r="BB73" s="68"/>
      <c r="BC73" s="68"/>
      <c r="BD73" s="68"/>
      <c r="BE73" s="6"/>
      <c r="BF73" s="6"/>
      <c r="BG73" s="6"/>
      <c r="BH73" s="6"/>
      <c r="BI73" s="6"/>
      <c r="BJ73" s="6"/>
      <c r="BK73" s="74"/>
      <c r="BL73" s="74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64"/>
      <c r="AN74" s="65"/>
      <c r="AO74" s="61"/>
      <c r="AP74" s="61"/>
      <c r="AQ74" s="66"/>
      <c r="AR74" s="67"/>
      <c r="AS74" s="67"/>
      <c r="AT74" s="67"/>
      <c r="AU74" s="6"/>
      <c r="AV74" s="6"/>
      <c r="AW74" s="6"/>
      <c r="AX74" s="6"/>
      <c r="AY74" s="6"/>
      <c r="AZ74" s="6"/>
      <c r="BA74" s="68"/>
      <c r="BB74" s="68"/>
      <c r="BC74" s="68"/>
      <c r="BD74" s="68"/>
      <c r="BE74" s="6"/>
      <c r="BF74" s="6"/>
      <c r="BG74" s="6"/>
      <c r="BH74" s="6"/>
      <c r="BI74" s="6"/>
      <c r="BJ74" s="6"/>
      <c r="BK74" s="74"/>
      <c r="BL74" s="74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64"/>
      <c r="AN75" s="65"/>
      <c r="AO75" s="61"/>
      <c r="AP75" s="61"/>
      <c r="AQ75" s="66"/>
      <c r="AR75" s="67"/>
      <c r="AS75" s="67"/>
      <c r="AT75" s="67"/>
      <c r="AU75" s="6"/>
      <c r="AV75" s="6"/>
      <c r="AW75" s="6"/>
      <c r="AX75" s="6"/>
      <c r="AY75" s="6"/>
      <c r="AZ75" s="6"/>
      <c r="BA75" s="68"/>
      <c r="BB75" s="68"/>
      <c r="BC75" s="68"/>
      <c r="BD75" s="68"/>
      <c r="BE75" s="6"/>
      <c r="BF75" s="6"/>
      <c r="BG75" s="6"/>
      <c r="BH75" s="6"/>
      <c r="BI75" s="6"/>
      <c r="BJ75" s="6"/>
      <c r="BK75" s="74"/>
      <c r="BL75" s="74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</row>
    <row r="974"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</row>
    <row r="975"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</row>
    <row r="976"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</row>
    <row r="977"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</row>
    <row r="978"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</row>
    <row r="979"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</row>
    <row r="980"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</row>
    <row r="981"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</row>
    <row r="982"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</row>
    <row r="983"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</row>
    <row r="984"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</row>
    <row r="985"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</row>
    <row r="986"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</row>
    <row r="987"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</row>
    <row r="988"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</row>
    <row r="989"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</row>
    <row r="990"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</row>
    <row r="991"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</row>
    <row r="992"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</row>
    <row r="993"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</row>
    <row r="994"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</row>
    <row r="995"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</row>
    <row r="996"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</row>
    <row r="997"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</row>
    <row r="998"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</row>
    <row r="999"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</row>
  </sheetData>
  <mergeCells count="37">
    <mergeCell ref="I6:R6"/>
    <mergeCell ref="S6:AB6"/>
    <mergeCell ref="AC6:AL6"/>
    <mergeCell ref="AM6:AV6"/>
    <mergeCell ref="AW6:BF6"/>
    <mergeCell ref="BG6:BL6"/>
    <mergeCell ref="X1:AB2"/>
    <mergeCell ref="D3:H3"/>
    <mergeCell ref="I3:O3"/>
    <mergeCell ref="P3:AB3"/>
    <mergeCell ref="D4:H4"/>
    <mergeCell ref="I4:O4"/>
    <mergeCell ref="P4:AB4"/>
    <mergeCell ref="B7:B8"/>
    <mergeCell ref="C7:C8"/>
    <mergeCell ref="D7:D8"/>
    <mergeCell ref="E7:E8"/>
    <mergeCell ref="F7:F8"/>
    <mergeCell ref="G7:G8"/>
    <mergeCell ref="H7:H8"/>
    <mergeCell ref="I7:L7"/>
    <mergeCell ref="M7:P7"/>
    <mergeCell ref="Q7:R7"/>
    <mergeCell ref="S7:V7"/>
    <mergeCell ref="W7:Z7"/>
    <mergeCell ref="AA7:AB7"/>
    <mergeCell ref="AC7:AF7"/>
    <mergeCell ref="BE7:BF7"/>
    <mergeCell ref="BG7:BJ7"/>
    <mergeCell ref="BK7:BL7"/>
    <mergeCell ref="AG7:AJ7"/>
    <mergeCell ref="AK7:AL7"/>
    <mergeCell ref="AM7:AP7"/>
    <mergeCell ref="AQ7:AT7"/>
    <mergeCell ref="AU7:AV7"/>
    <mergeCell ref="AW7:AZ7"/>
    <mergeCell ref="BA7:BD7"/>
  </mergeCells>
  <hyperlinks>
    <hyperlink r:id="rId1" ref="J1"/>
    <hyperlink r:id="rId2" ref="X1"/>
  </hyperlinks>
  <drawing r:id="rId3"/>
</worksheet>
</file>